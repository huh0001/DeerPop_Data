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avb0033_auburn_edu/Documents/DeerPopMod/Excel model/AcCountDeer_Models/"/>
    </mc:Choice>
  </mc:AlternateContent>
  <xr:revisionPtr revIDLastSave="0" documentId="8_{16CB1632-3617-4C59-B0B0-FC83E24F6064}" xr6:coauthVersionLast="47" xr6:coauthVersionMax="47" xr10:uidLastSave="{00000000-0000-0000-0000-000000000000}"/>
  <bookViews>
    <workbookView xWindow="28680" yWindow="-120" windowWidth="29040" windowHeight="15720" activeTab="2" xr2:uid="{05ED5D2F-6A58-482D-8F42-C297666A510D}"/>
  </bookViews>
  <sheets>
    <sheet name="AcCountDeer(Initial)" sheetId="1" r:id="rId1"/>
    <sheet name="AcCountDeer(Trial1)" sheetId="4" r:id="rId2"/>
    <sheet name="ForAnalysis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R14" i="2" l="1"/>
  <c r="AR15" i="2"/>
  <c r="AR16" i="2"/>
  <c r="AR17" i="2"/>
  <c r="AR18" i="2"/>
  <c r="AR19" i="2"/>
  <c r="AR20" i="2"/>
  <c r="AR21" i="2"/>
  <c r="AR13" i="2"/>
  <c r="AQ14" i="2"/>
  <c r="AQ15" i="2"/>
  <c r="AQ16" i="2"/>
  <c r="AQ17" i="2"/>
  <c r="AQ18" i="2"/>
  <c r="AQ19" i="2"/>
  <c r="AQ20" i="2"/>
  <c r="AQ21" i="2"/>
  <c r="AQ13" i="2"/>
  <c r="AR12" i="2"/>
  <c r="AQ12" i="2"/>
  <c r="AP12" i="2" a="1"/>
  <c r="AP12" i="2" s="1"/>
  <c r="AL12" i="2" a="1"/>
  <c r="AL12" i="2" s="1"/>
  <c r="AC12" i="2" a="1"/>
  <c r="AC12" i="2" s="1"/>
  <c r="A12" i="2" a="1"/>
  <c r="A12" i="2" s="1"/>
  <c r="AV29" i="4"/>
  <c r="AV28" i="4"/>
  <c r="AV27" i="4"/>
  <c r="AV26" i="4"/>
  <c r="AV25" i="4"/>
  <c r="AV24" i="4"/>
  <c r="AV23" i="4"/>
  <c r="AV22" i="4"/>
  <c r="AV21" i="4"/>
  <c r="AV20" i="4"/>
  <c r="F12" i="4"/>
  <c r="U10" i="4"/>
  <c r="U9" i="4"/>
  <c r="Q9" i="4"/>
  <c r="R9" i="4" s="1"/>
  <c r="U8" i="4"/>
  <c r="Q8" i="4"/>
  <c r="R8" i="4" s="1"/>
  <c r="U7" i="4"/>
  <c r="Q7" i="4"/>
  <c r="R7" i="4" s="1"/>
  <c r="U6" i="4"/>
  <c r="Q6" i="4"/>
  <c r="R6" i="4" s="1"/>
  <c r="K6" i="4"/>
  <c r="E6" i="4"/>
  <c r="U5" i="4"/>
  <c r="Q5" i="4"/>
  <c r="R5" i="4" s="1"/>
  <c r="K5" i="4"/>
  <c r="U4" i="4"/>
  <c r="Q4" i="4"/>
  <c r="R4" i="4" s="1"/>
  <c r="K4" i="4"/>
  <c r="U3" i="4"/>
  <c r="R3" i="4"/>
  <c r="Q3" i="4"/>
  <c r="K3" i="4"/>
  <c r="I3" i="4"/>
  <c r="AA21" i="1"/>
  <c r="AA20" i="1"/>
  <c r="Z20" i="1"/>
  <c r="X20" i="1"/>
  <c r="W21" i="1"/>
  <c r="W20" i="1"/>
  <c r="V20" i="1"/>
  <c r="Y20" i="1"/>
  <c r="U20" i="1"/>
  <c r="T20" i="1"/>
  <c r="AR4" i="2"/>
  <c r="AR5" i="2"/>
  <c r="AR6" i="2"/>
  <c r="AR7" i="2"/>
  <c r="AR8" i="2"/>
  <c r="AR9" i="2"/>
  <c r="AR10" i="2"/>
  <c r="AR11" i="2"/>
  <c r="AR3" i="2"/>
  <c r="AQ4" i="2"/>
  <c r="AQ5" i="2"/>
  <c r="AQ6" i="2"/>
  <c r="AQ7" i="2"/>
  <c r="AQ8" i="2"/>
  <c r="AQ9" i="2"/>
  <c r="AQ10" i="2"/>
  <c r="AQ11" i="2"/>
  <c r="AQ3" i="2"/>
  <c r="AR2" i="2"/>
  <c r="AQ2" i="2"/>
  <c r="AV21" i="1"/>
  <c r="AV22" i="1"/>
  <c r="AV23" i="1"/>
  <c r="AV24" i="1"/>
  <c r="AV25" i="1"/>
  <c r="AV26" i="1"/>
  <c r="AV27" i="1"/>
  <c r="AV28" i="1"/>
  <c r="AV29" i="1"/>
  <c r="AV20" i="1"/>
  <c r="F12" i="1"/>
  <c r="U10" i="1"/>
  <c r="U9" i="1"/>
  <c r="Q9" i="1"/>
  <c r="R9" i="1" s="1"/>
  <c r="U8" i="1"/>
  <c r="Q8" i="1"/>
  <c r="R8" i="1" s="1"/>
  <c r="U7" i="1"/>
  <c r="Q7" i="1"/>
  <c r="R7" i="1" s="1"/>
  <c r="U6" i="1"/>
  <c r="Q6" i="1"/>
  <c r="R6" i="1" s="1"/>
  <c r="K6" i="1"/>
  <c r="E6" i="1"/>
  <c r="E7" i="1" s="1"/>
  <c r="U5" i="1"/>
  <c r="Q5" i="1"/>
  <c r="R5" i="1" s="1"/>
  <c r="K5" i="1"/>
  <c r="U4" i="1"/>
  <c r="Q4" i="1"/>
  <c r="R4" i="1" s="1"/>
  <c r="K4" i="1"/>
  <c r="U3" i="1"/>
  <c r="Q3" i="1"/>
  <c r="R3" i="1" s="1"/>
  <c r="K3" i="1"/>
  <c r="I3" i="1"/>
  <c r="M6" i="4" l="1"/>
  <c r="M3" i="4"/>
  <c r="E7" i="4"/>
  <c r="M5" i="4"/>
  <c r="M4" i="4"/>
  <c r="AB20" i="1"/>
  <c r="M6" i="1"/>
  <c r="L6" i="1"/>
  <c r="M5" i="1"/>
  <c r="L5" i="1"/>
  <c r="M4" i="1"/>
  <c r="L4" i="1"/>
  <c r="M3" i="1"/>
  <c r="L3" i="1"/>
  <c r="I20" i="4" l="1"/>
  <c r="P20" i="4" s="1"/>
  <c r="Y20" i="4" s="1"/>
  <c r="C20" i="4"/>
  <c r="G20" i="4"/>
  <c r="N20" i="4" s="1"/>
  <c r="W20" i="4" s="1"/>
  <c r="E20" i="4"/>
  <c r="L3" i="4"/>
  <c r="V3" i="4" s="1"/>
  <c r="B20" i="4" s="1"/>
  <c r="L5" i="4"/>
  <c r="L6" i="4"/>
  <c r="L4" i="4"/>
  <c r="V10" i="1"/>
  <c r="I20" i="1" s="1"/>
  <c r="P20" i="1" s="1"/>
  <c r="V9" i="1"/>
  <c r="H20" i="1" s="1"/>
  <c r="O20" i="1" s="1"/>
  <c r="V8" i="1"/>
  <c r="G20" i="1" s="1"/>
  <c r="N20" i="1" s="1"/>
  <c r="V7" i="1"/>
  <c r="F20" i="1" s="1"/>
  <c r="M20" i="1" s="1"/>
  <c r="V6" i="1"/>
  <c r="E20" i="1" s="1"/>
  <c r="V5" i="1"/>
  <c r="D20" i="1" s="1"/>
  <c r="V4" i="1"/>
  <c r="C20" i="1" s="1"/>
  <c r="L20" i="1" s="1"/>
  <c r="V3" i="1"/>
  <c r="B20" i="1" s="1"/>
  <c r="L20" i="4" l="1"/>
  <c r="AI20" i="4"/>
  <c r="G21" i="4"/>
  <c r="AG20" i="4"/>
  <c r="E21" i="4"/>
  <c r="F33" i="4" s="1"/>
  <c r="V7" i="4"/>
  <c r="F20" i="4" s="1"/>
  <c r="M20" i="4" s="1"/>
  <c r="V20" i="4" s="1"/>
  <c r="O33" i="4" s="1"/>
  <c r="H20" i="4"/>
  <c r="O20" i="4" s="1"/>
  <c r="X20" i="4" s="1"/>
  <c r="N33" i="4" s="1"/>
  <c r="V9" i="4"/>
  <c r="V5" i="4"/>
  <c r="D20" i="4" s="1"/>
  <c r="AI20" i="1"/>
  <c r="G21" i="1"/>
  <c r="N33" i="1"/>
  <c r="AH20" i="1"/>
  <c r="F21" i="1"/>
  <c r="AG20" i="1"/>
  <c r="E21" i="1"/>
  <c r="F33" i="1" s="1"/>
  <c r="O33" i="1"/>
  <c r="AF20" i="1"/>
  <c r="D21" i="1"/>
  <c r="E33" i="1" s="1"/>
  <c r="Q20" i="1"/>
  <c r="J20" i="1"/>
  <c r="K20" i="1"/>
  <c r="U20" i="4" l="1"/>
  <c r="Q20" i="4"/>
  <c r="AE20" i="4"/>
  <c r="C21" i="4"/>
  <c r="AF20" i="4"/>
  <c r="D21" i="4"/>
  <c r="E33" i="4"/>
  <c r="AH20" i="4"/>
  <c r="F21" i="4"/>
  <c r="M21" i="4" s="1"/>
  <c r="V21" i="4" s="1"/>
  <c r="G33" i="4"/>
  <c r="N21" i="4"/>
  <c r="W21" i="4" s="1"/>
  <c r="H33" i="4"/>
  <c r="K20" i="4"/>
  <c r="J20" i="4"/>
  <c r="M21" i="1"/>
  <c r="V21" i="1" s="1"/>
  <c r="G33" i="1"/>
  <c r="R20" i="1"/>
  <c r="AE20" i="1"/>
  <c r="C21" i="1"/>
  <c r="L21" i="1" s="1"/>
  <c r="U21" i="1" s="1"/>
  <c r="D33" i="1"/>
  <c r="S20" i="1"/>
  <c r="P33" i="1"/>
  <c r="N21" i="1"/>
  <c r="H33" i="1"/>
  <c r="R20" i="4" l="1"/>
  <c r="AA20" i="4" s="1"/>
  <c r="Z20" i="4"/>
  <c r="M33" i="4" s="1"/>
  <c r="AJ20" i="4"/>
  <c r="H21" i="4"/>
  <c r="AF21" i="4"/>
  <c r="D22" i="4"/>
  <c r="E34" i="4" s="1"/>
  <c r="O34" i="4"/>
  <c r="E22" i="4"/>
  <c r="F34" i="4" s="1"/>
  <c r="AG21" i="4"/>
  <c r="S20" i="4"/>
  <c r="T20" i="4"/>
  <c r="L21" i="4"/>
  <c r="D33" i="4"/>
  <c r="D22" i="1"/>
  <c r="E34" i="1" s="1"/>
  <c r="AF21" i="1"/>
  <c r="AK20" i="1"/>
  <c r="I21" i="1"/>
  <c r="M33" i="1"/>
  <c r="AJ20" i="1"/>
  <c r="H21" i="1"/>
  <c r="AD20" i="1"/>
  <c r="B21" i="1"/>
  <c r="O34" i="1"/>
  <c r="E22" i="1"/>
  <c r="F34" i="1" s="1"/>
  <c r="AG21" i="1"/>
  <c r="AK20" i="4" l="1"/>
  <c r="I21" i="4"/>
  <c r="P21" i="4"/>
  <c r="J33" i="4"/>
  <c r="P33" i="4"/>
  <c r="AB20" i="4"/>
  <c r="AD20" i="4"/>
  <c r="AL20" i="4" s="1"/>
  <c r="B21" i="4"/>
  <c r="C33" i="4" s="1"/>
  <c r="U21" i="4"/>
  <c r="O21" i="4"/>
  <c r="X21" i="4" s="1"/>
  <c r="I33" i="4"/>
  <c r="AL20" i="1"/>
  <c r="C33" i="1"/>
  <c r="AE21" i="1"/>
  <c r="C22" i="1"/>
  <c r="Y3" i="1"/>
  <c r="B6" i="1"/>
  <c r="J21" i="1"/>
  <c r="K21" i="1"/>
  <c r="P21" i="1"/>
  <c r="Y21" i="1" s="1"/>
  <c r="J33" i="1"/>
  <c r="O21" i="1"/>
  <c r="X21" i="1" s="1"/>
  <c r="I33" i="1"/>
  <c r="Y21" i="4" l="1"/>
  <c r="N34" i="4" s="1"/>
  <c r="Q21" i="4"/>
  <c r="B6" i="4"/>
  <c r="Y3" i="4"/>
  <c r="J21" i="4"/>
  <c r="K21" i="4"/>
  <c r="B33" i="4"/>
  <c r="AE21" i="4"/>
  <c r="C22" i="4"/>
  <c r="F22" i="4"/>
  <c r="AH21" i="4"/>
  <c r="B33" i="1"/>
  <c r="T21" i="1"/>
  <c r="Q21" i="1"/>
  <c r="Z21" i="1" s="1"/>
  <c r="F22" i="1"/>
  <c r="AH21" i="1"/>
  <c r="L22" i="1"/>
  <c r="U22" i="1" s="1"/>
  <c r="D34" i="1"/>
  <c r="Z21" i="4" l="1"/>
  <c r="R21" i="4"/>
  <c r="AA21" i="4" s="1"/>
  <c r="AI21" i="4"/>
  <c r="G22" i="4"/>
  <c r="L22" i="4"/>
  <c r="U22" i="4" s="1"/>
  <c r="D34" i="4"/>
  <c r="S21" i="4"/>
  <c r="T21" i="4"/>
  <c r="AK21" i="4"/>
  <c r="I22" i="4"/>
  <c r="M34" i="4"/>
  <c r="AJ21" i="4"/>
  <c r="H22" i="4"/>
  <c r="M22" i="4"/>
  <c r="V22" i="4" s="1"/>
  <c r="G34" i="4"/>
  <c r="P34" i="1"/>
  <c r="AD21" i="1"/>
  <c r="B22" i="1"/>
  <c r="C34" i="1" s="1"/>
  <c r="R21" i="1"/>
  <c r="AB21" i="1" s="1"/>
  <c r="N34" i="1"/>
  <c r="G22" i="1"/>
  <c r="AI21" i="1"/>
  <c r="M22" i="1"/>
  <c r="V22" i="1" s="1"/>
  <c r="G34" i="1"/>
  <c r="N22" i="4" l="1"/>
  <c r="W22" i="4" s="1"/>
  <c r="O35" i="4" s="1"/>
  <c r="H34" i="4"/>
  <c r="P34" i="4"/>
  <c r="AB21" i="4"/>
  <c r="Y4" i="4" s="1"/>
  <c r="Z4" i="4" s="1"/>
  <c r="AD21" i="4"/>
  <c r="AL21" i="4" s="1"/>
  <c r="B22" i="4"/>
  <c r="C34" i="4"/>
  <c r="AE22" i="4"/>
  <c r="C23" i="4"/>
  <c r="D23" i="4"/>
  <c r="E35" i="4" s="1"/>
  <c r="AF22" i="4"/>
  <c r="P22" i="4"/>
  <c r="J34" i="4"/>
  <c r="O22" i="4"/>
  <c r="X22" i="4" s="1"/>
  <c r="I34" i="4"/>
  <c r="K22" i="1"/>
  <c r="T22" i="1" s="1"/>
  <c r="AJ21" i="1"/>
  <c r="H22" i="1"/>
  <c r="S21" i="1"/>
  <c r="C23" i="1"/>
  <c r="D35" i="1" s="1"/>
  <c r="D23" i="1"/>
  <c r="E35" i="1" s="1"/>
  <c r="AF22" i="1"/>
  <c r="N22" i="1"/>
  <c r="W22" i="1" s="1"/>
  <c r="AE22" i="1" s="1"/>
  <c r="H34" i="1"/>
  <c r="AG22" i="4" l="1"/>
  <c r="E23" i="4"/>
  <c r="F35" i="4" s="1"/>
  <c r="J22" i="4"/>
  <c r="K22" i="4"/>
  <c r="B34" i="4"/>
  <c r="Q22" i="4"/>
  <c r="Y22" i="4"/>
  <c r="F23" i="4"/>
  <c r="AH22" i="4"/>
  <c r="L23" i="4"/>
  <c r="D35" i="4"/>
  <c r="Y4" i="1"/>
  <c r="Z4" i="1" s="1"/>
  <c r="AK21" i="1"/>
  <c r="AL21" i="1" s="1"/>
  <c r="I22" i="1"/>
  <c r="M34" i="1"/>
  <c r="O35" i="1"/>
  <c r="E23" i="1"/>
  <c r="AG22" i="1"/>
  <c r="O22" i="1"/>
  <c r="X22" i="1" s="1"/>
  <c r="I34" i="1"/>
  <c r="J22" i="1"/>
  <c r="T22" i="4" l="1"/>
  <c r="Z22" i="4"/>
  <c r="R22" i="4"/>
  <c r="N35" i="4"/>
  <c r="G23" i="4"/>
  <c r="AI22" i="4"/>
  <c r="U23" i="4"/>
  <c r="M23" i="4"/>
  <c r="V23" i="4" s="1"/>
  <c r="G35" i="4"/>
  <c r="P35" i="1"/>
  <c r="AD22" i="1"/>
  <c r="B23" i="1"/>
  <c r="C35" i="1" s="1"/>
  <c r="F23" i="1"/>
  <c r="AH22" i="1"/>
  <c r="P22" i="1"/>
  <c r="Y22" i="1" s="1"/>
  <c r="J34" i="1"/>
  <c r="B34" i="1" s="1"/>
  <c r="L23" i="1"/>
  <c r="U23" i="1" s="1"/>
  <c r="F35" i="1"/>
  <c r="P35" i="4" l="1"/>
  <c r="AD22" i="4"/>
  <c r="B23" i="4"/>
  <c r="C35" i="4" s="1"/>
  <c r="AJ22" i="4"/>
  <c r="H23" i="4"/>
  <c r="C24" i="4"/>
  <c r="D36" i="4" s="1"/>
  <c r="D24" i="4"/>
  <c r="E36" i="4" s="1"/>
  <c r="AF23" i="4"/>
  <c r="AA22" i="4"/>
  <c r="AB22" i="4" s="1"/>
  <c r="Y5" i="4" s="1"/>
  <c r="Z5" i="4" s="1"/>
  <c r="S22" i="4"/>
  <c r="N23" i="4"/>
  <c r="W23" i="4" s="1"/>
  <c r="AE23" i="4" s="1"/>
  <c r="H35" i="4"/>
  <c r="K23" i="1"/>
  <c r="T23" i="1" s="1"/>
  <c r="Q22" i="1"/>
  <c r="Z22" i="1" s="1"/>
  <c r="M23" i="1"/>
  <c r="V23" i="1" s="1"/>
  <c r="G35" i="1"/>
  <c r="K23" i="4" l="1"/>
  <c r="M35" i="4"/>
  <c r="I23" i="4"/>
  <c r="AK22" i="4"/>
  <c r="AL22" i="4" s="1"/>
  <c r="O36" i="4"/>
  <c r="E24" i="4"/>
  <c r="AG23" i="4"/>
  <c r="O23" i="4"/>
  <c r="X23" i="4" s="1"/>
  <c r="I35" i="4"/>
  <c r="P36" i="1"/>
  <c r="AI22" i="1"/>
  <c r="G23" i="1"/>
  <c r="H35" i="1" s="1"/>
  <c r="N35" i="1"/>
  <c r="R22" i="1"/>
  <c r="AA22" i="1" s="1"/>
  <c r="AB22" i="1" s="1"/>
  <c r="C24" i="1"/>
  <c r="D36" i="1" s="1"/>
  <c r="D24" i="1"/>
  <c r="E36" i="1" s="1"/>
  <c r="AF23" i="1"/>
  <c r="T23" i="4" l="1"/>
  <c r="F24" i="4"/>
  <c r="AH23" i="4"/>
  <c r="P23" i="4"/>
  <c r="J23" i="4"/>
  <c r="J35" i="4"/>
  <c r="L24" i="4"/>
  <c r="F36" i="4"/>
  <c r="AD23" i="1"/>
  <c r="B24" i="1"/>
  <c r="C36" i="1" s="1"/>
  <c r="N23" i="1"/>
  <c r="W23" i="1" s="1"/>
  <c r="AJ22" i="1"/>
  <c r="H23" i="1"/>
  <c r="S22" i="1"/>
  <c r="P36" i="4" l="1"/>
  <c r="AD23" i="4"/>
  <c r="B24" i="4"/>
  <c r="C36" i="4" s="1"/>
  <c r="Y23" i="4"/>
  <c r="Q23" i="4"/>
  <c r="B35" i="4"/>
  <c r="U24" i="4"/>
  <c r="M24" i="4"/>
  <c r="V24" i="4" s="1"/>
  <c r="G36" i="4"/>
  <c r="K24" i="1"/>
  <c r="T24" i="1" s="1"/>
  <c r="Y5" i="1"/>
  <c r="Z5" i="1" s="1"/>
  <c r="AK22" i="1"/>
  <c r="AL22" i="1" s="1"/>
  <c r="I23" i="1"/>
  <c r="M35" i="1"/>
  <c r="O23" i="1"/>
  <c r="X23" i="1" s="1"/>
  <c r="I35" i="1"/>
  <c r="K24" i="4" l="1"/>
  <c r="AI23" i="4"/>
  <c r="G24" i="4"/>
  <c r="N36" i="4"/>
  <c r="Z23" i="4"/>
  <c r="R23" i="4"/>
  <c r="C25" i="4"/>
  <c r="D37" i="4" s="1"/>
  <c r="D25" i="4"/>
  <c r="E37" i="4" s="1"/>
  <c r="AF24" i="4"/>
  <c r="AE23" i="1"/>
  <c r="AG23" i="1"/>
  <c r="E24" i="1"/>
  <c r="F36" i="1" s="1"/>
  <c r="O36" i="1"/>
  <c r="F24" i="1"/>
  <c r="AH23" i="1"/>
  <c r="P23" i="1"/>
  <c r="Y23" i="1" s="1"/>
  <c r="J35" i="1"/>
  <c r="B35" i="1" s="1"/>
  <c r="J23" i="1"/>
  <c r="T24" i="4" l="1"/>
  <c r="AJ23" i="4"/>
  <c r="H24" i="4"/>
  <c r="N24" i="4"/>
  <c r="W24" i="4" s="1"/>
  <c r="AE24" i="4" s="1"/>
  <c r="H36" i="4"/>
  <c r="AA23" i="4"/>
  <c r="AB23" i="4" s="1"/>
  <c r="Y6" i="4" s="1"/>
  <c r="Z6" i="4" s="1"/>
  <c r="S23" i="4"/>
  <c r="B25" i="1"/>
  <c r="C37" i="1" s="1"/>
  <c r="L24" i="1"/>
  <c r="U24" i="1" s="1"/>
  <c r="Q23" i="1"/>
  <c r="Z23" i="1" s="1"/>
  <c r="M24" i="1"/>
  <c r="V24" i="1" s="1"/>
  <c r="AD24" i="1" s="1"/>
  <c r="G36" i="1"/>
  <c r="P37" i="4" l="1"/>
  <c r="B25" i="4"/>
  <c r="C37" i="4" s="1"/>
  <c r="AD24" i="4"/>
  <c r="E25" i="4"/>
  <c r="O37" i="4"/>
  <c r="AG24" i="4"/>
  <c r="M36" i="4"/>
  <c r="I24" i="4"/>
  <c r="J36" i="4" s="1"/>
  <c r="AK23" i="4"/>
  <c r="AL23" i="4" s="1"/>
  <c r="O24" i="4"/>
  <c r="I36" i="4"/>
  <c r="AI23" i="1"/>
  <c r="G24" i="1"/>
  <c r="H36" i="1" s="1"/>
  <c r="N36" i="1"/>
  <c r="R23" i="1"/>
  <c r="AA23" i="1" s="1"/>
  <c r="AB23" i="1" s="1"/>
  <c r="D25" i="1"/>
  <c r="AF24" i="1"/>
  <c r="L25" i="4" l="1"/>
  <c r="F37" i="4"/>
  <c r="B36" i="4"/>
  <c r="K25" i="4"/>
  <c r="U25" i="4"/>
  <c r="J24" i="4"/>
  <c r="P24" i="4"/>
  <c r="X24" i="4"/>
  <c r="C25" i="1"/>
  <c r="D37" i="1" s="1"/>
  <c r="P37" i="1"/>
  <c r="N24" i="1"/>
  <c r="W24" i="1" s="1"/>
  <c r="AJ23" i="1"/>
  <c r="H24" i="1"/>
  <c r="S23" i="1"/>
  <c r="E37" i="1"/>
  <c r="K25" i="1"/>
  <c r="T25" i="1" s="1"/>
  <c r="T25" i="4" l="1"/>
  <c r="P38" i="4" s="1"/>
  <c r="C26" i="4"/>
  <c r="D38" i="4" s="1"/>
  <c r="Q24" i="4"/>
  <c r="Y24" i="4"/>
  <c r="AH24" i="4"/>
  <c r="F25" i="4"/>
  <c r="G37" i="4" s="1"/>
  <c r="Y6" i="1"/>
  <c r="Z6" i="1" s="1"/>
  <c r="AK23" i="1"/>
  <c r="AL23" i="1" s="1"/>
  <c r="I24" i="1"/>
  <c r="M36" i="1"/>
  <c r="O24" i="1"/>
  <c r="X24" i="1" s="1"/>
  <c r="J24" i="1"/>
  <c r="I36" i="1"/>
  <c r="B26" i="4" l="1"/>
  <c r="C38" i="4" s="1"/>
  <c r="Z24" i="4"/>
  <c r="R24" i="4"/>
  <c r="N37" i="4"/>
  <c r="AI24" i="4"/>
  <c r="G25" i="4"/>
  <c r="M25" i="4"/>
  <c r="AE24" i="1"/>
  <c r="AG24" i="1"/>
  <c r="E25" i="1"/>
  <c r="F37" i="1" s="1"/>
  <c r="O37" i="1"/>
  <c r="B26" i="1"/>
  <c r="C38" i="1" s="1"/>
  <c r="F25" i="1"/>
  <c r="AH24" i="1"/>
  <c r="P24" i="1"/>
  <c r="Y24" i="1" s="1"/>
  <c r="J36" i="1"/>
  <c r="B36" i="1" s="1"/>
  <c r="H25" i="4" l="1"/>
  <c r="AJ24" i="4"/>
  <c r="V25" i="4"/>
  <c r="AA24" i="4"/>
  <c r="S24" i="4"/>
  <c r="N25" i="4"/>
  <c r="W25" i="4" s="1"/>
  <c r="H37" i="4"/>
  <c r="L25" i="1"/>
  <c r="U25" i="1" s="1"/>
  <c r="Q24" i="1"/>
  <c r="Z24" i="1" s="1"/>
  <c r="M25" i="1"/>
  <c r="V25" i="1" s="1"/>
  <c r="G37" i="1"/>
  <c r="AD25" i="4" l="1"/>
  <c r="AF25" i="4"/>
  <c r="D26" i="4"/>
  <c r="E38" i="4" s="1"/>
  <c r="I25" i="4"/>
  <c r="J37" i="4" s="1"/>
  <c r="M37" i="4"/>
  <c r="AK24" i="4"/>
  <c r="AL24" i="4" s="1"/>
  <c r="AB24" i="4"/>
  <c r="Y7" i="4" s="1"/>
  <c r="Z7" i="4" s="1"/>
  <c r="O38" i="4"/>
  <c r="E26" i="4"/>
  <c r="AG25" i="4"/>
  <c r="AE25" i="4"/>
  <c r="O25" i="4"/>
  <c r="I37" i="4"/>
  <c r="AI24" i="1"/>
  <c r="G25" i="1"/>
  <c r="H37" i="1" s="1"/>
  <c r="N37" i="1"/>
  <c r="R24" i="1"/>
  <c r="AA24" i="1" s="1"/>
  <c r="AB24" i="1" s="1"/>
  <c r="D26" i="1"/>
  <c r="AF25" i="1"/>
  <c r="AD25" i="1"/>
  <c r="K26" i="4" l="1"/>
  <c r="J25" i="4"/>
  <c r="P25" i="4"/>
  <c r="X25" i="4"/>
  <c r="B37" i="4"/>
  <c r="L26" i="4"/>
  <c r="F38" i="4"/>
  <c r="C26" i="1"/>
  <c r="D38" i="1" s="1"/>
  <c r="P38" i="1"/>
  <c r="N25" i="1"/>
  <c r="W25" i="1" s="1"/>
  <c r="AJ24" i="1"/>
  <c r="H25" i="1"/>
  <c r="I37" i="1" s="1"/>
  <c r="S24" i="1"/>
  <c r="K26" i="1"/>
  <c r="T26" i="1" s="1"/>
  <c r="E38" i="1"/>
  <c r="T26" i="4" l="1"/>
  <c r="Q25" i="4"/>
  <c r="Y25" i="4"/>
  <c r="F26" i="4"/>
  <c r="G38" i="4" s="1"/>
  <c r="AH25" i="4"/>
  <c r="U26" i="4"/>
  <c r="Y7" i="1"/>
  <c r="Z7" i="1" s="1"/>
  <c r="AK24" i="1"/>
  <c r="AL24" i="1" s="1"/>
  <c r="M37" i="1"/>
  <c r="I25" i="1"/>
  <c r="J25" i="1" s="1"/>
  <c r="O25" i="1"/>
  <c r="X25" i="1" s="1"/>
  <c r="B27" i="4" l="1"/>
  <c r="C39" i="4" s="1"/>
  <c r="Z25" i="4"/>
  <c r="R25" i="4"/>
  <c r="AI25" i="4"/>
  <c r="G26" i="4"/>
  <c r="N38" i="4"/>
  <c r="M26" i="4"/>
  <c r="C27" i="4"/>
  <c r="D39" i="4" s="1"/>
  <c r="P39" i="4"/>
  <c r="AE25" i="1"/>
  <c r="AG25" i="1"/>
  <c r="O38" i="1"/>
  <c r="E26" i="1"/>
  <c r="F38" i="1" s="1"/>
  <c r="B27" i="1"/>
  <c r="C39" i="1" s="1"/>
  <c r="AH25" i="1"/>
  <c r="F26" i="1"/>
  <c r="P25" i="1"/>
  <c r="Y25" i="1" s="1"/>
  <c r="J37" i="1"/>
  <c r="B37" i="1" s="1"/>
  <c r="N26" i="4" l="1"/>
  <c r="W26" i="4" s="1"/>
  <c r="AE26" i="4" s="1"/>
  <c r="H38" i="4"/>
  <c r="AJ25" i="4"/>
  <c r="H26" i="4"/>
  <c r="I38" i="4" s="1"/>
  <c r="AG26" i="4"/>
  <c r="E27" i="4"/>
  <c r="V26" i="4"/>
  <c r="O39" i="4" s="1"/>
  <c r="AA25" i="4"/>
  <c r="AB25" i="4" s="1"/>
  <c r="Y8" i="4" s="1"/>
  <c r="Z8" i="4" s="1"/>
  <c r="S25" i="4"/>
  <c r="L26" i="1"/>
  <c r="U26" i="1" s="1"/>
  <c r="Q25" i="1"/>
  <c r="Z25" i="1" s="1"/>
  <c r="M26" i="1"/>
  <c r="V26" i="1" s="1"/>
  <c r="G38" i="1"/>
  <c r="O26" i="4" l="1"/>
  <c r="AD26" i="4"/>
  <c r="AF26" i="4"/>
  <c r="D27" i="4"/>
  <c r="E39" i="4" s="1"/>
  <c r="M38" i="4"/>
  <c r="I26" i="4"/>
  <c r="AK25" i="4"/>
  <c r="AL25" i="4" s="1"/>
  <c r="L27" i="4"/>
  <c r="F39" i="4"/>
  <c r="G26" i="1"/>
  <c r="H38" i="1" s="1"/>
  <c r="AI25" i="1"/>
  <c r="N38" i="1"/>
  <c r="R25" i="1"/>
  <c r="AA25" i="1" s="1"/>
  <c r="AB25" i="1" s="1"/>
  <c r="D27" i="1"/>
  <c r="AF26" i="1"/>
  <c r="AD26" i="1"/>
  <c r="X26" i="4" l="1"/>
  <c r="K27" i="4"/>
  <c r="U27" i="4"/>
  <c r="P26" i="4"/>
  <c r="J26" i="4"/>
  <c r="J38" i="4"/>
  <c r="B38" i="4" s="1"/>
  <c r="C27" i="1"/>
  <c r="D39" i="1" s="1"/>
  <c r="P39" i="1"/>
  <c r="N26" i="1"/>
  <c r="W26" i="1" s="1"/>
  <c r="AJ25" i="1"/>
  <c r="H26" i="1"/>
  <c r="S25" i="1"/>
  <c r="K27" i="1"/>
  <c r="T27" i="1" s="1"/>
  <c r="E39" i="1"/>
  <c r="AH26" i="4" l="1"/>
  <c r="F27" i="4"/>
  <c r="G39" i="4" s="1"/>
  <c r="T27" i="4"/>
  <c r="P40" i="4" s="1"/>
  <c r="C28" i="4"/>
  <c r="D40" i="4" s="1"/>
  <c r="Y26" i="4"/>
  <c r="Q26" i="4"/>
  <c r="Y8" i="1"/>
  <c r="Z8" i="1" s="1"/>
  <c r="AK25" i="1"/>
  <c r="AL25" i="1" s="1"/>
  <c r="I26" i="1"/>
  <c r="M38" i="1"/>
  <c r="O26" i="1"/>
  <c r="X26" i="1" s="1"/>
  <c r="I38" i="1"/>
  <c r="M27" i="4" l="1"/>
  <c r="B28" i="4"/>
  <c r="C40" i="4" s="1"/>
  <c r="AI26" i="4"/>
  <c r="G27" i="4"/>
  <c r="H39" i="4" s="1"/>
  <c r="N39" i="4"/>
  <c r="Z26" i="4"/>
  <c r="R26" i="4"/>
  <c r="P26" i="1"/>
  <c r="Y26" i="1" s="1"/>
  <c r="J26" i="1"/>
  <c r="J38" i="1"/>
  <c r="B38" i="1" s="1"/>
  <c r="AE26" i="1"/>
  <c r="AG26" i="1"/>
  <c r="E27" i="1"/>
  <c r="F39" i="1" s="1"/>
  <c r="O39" i="1"/>
  <c r="Q26" i="1"/>
  <c r="Z26" i="1" s="1"/>
  <c r="B28" i="1"/>
  <c r="C40" i="1" s="1"/>
  <c r="F27" i="1"/>
  <c r="AH26" i="1"/>
  <c r="V27" i="4" l="1"/>
  <c r="AJ26" i="4"/>
  <c r="H27" i="4"/>
  <c r="N27" i="4"/>
  <c r="W27" i="4" s="1"/>
  <c r="AA26" i="4"/>
  <c r="AB26" i="4" s="1"/>
  <c r="Y9" i="4" s="1"/>
  <c r="Z9" i="4" s="1"/>
  <c r="S26" i="4"/>
  <c r="L27" i="1"/>
  <c r="U27" i="1" s="1"/>
  <c r="R26" i="1"/>
  <c r="AA26" i="1" s="1"/>
  <c r="AB26" i="1" s="1"/>
  <c r="G27" i="1"/>
  <c r="H39" i="1" s="1"/>
  <c r="N39" i="1"/>
  <c r="AI26" i="1"/>
  <c r="M27" i="1"/>
  <c r="V27" i="1" s="1"/>
  <c r="G39" i="1"/>
  <c r="AD27" i="4" l="1"/>
  <c r="AF27" i="4"/>
  <c r="D28" i="4"/>
  <c r="E40" i="4" s="1"/>
  <c r="O40" i="4"/>
  <c r="E28" i="4"/>
  <c r="AG27" i="4"/>
  <c r="AE27" i="4"/>
  <c r="M39" i="4"/>
  <c r="I27" i="4"/>
  <c r="J39" i="4" s="1"/>
  <c r="AK26" i="4"/>
  <c r="AL26" i="4" s="1"/>
  <c r="O27" i="4"/>
  <c r="I39" i="4"/>
  <c r="H27" i="1"/>
  <c r="AJ26" i="1"/>
  <c r="AF27" i="1"/>
  <c r="D28" i="1"/>
  <c r="AD27" i="1"/>
  <c r="S26" i="1"/>
  <c r="N27" i="1"/>
  <c r="W27" i="1" s="1"/>
  <c r="K28" i="4" l="1"/>
  <c r="J27" i="4"/>
  <c r="P27" i="4"/>
  <c r="X27" i="4"/>
  <c r="B39" i="4"/>
  <c r="L28" i="4"/>
  <c r="F40" i="4"/>
  <c r="Y9" i="1"/>
  <c r="Z9" i="1" s="1"/>
  <c r="O27" i="1"/>
  <c r="X27" i="1" s="1"/>
  <c r="I39" i="1"/>
  <c r="C28" i="1"/>
  <c r="D40" i="1" s="1"/>
  <c r="AE27" i="1"/>
  <c r="P40" i="1"/>
  <c r="I27" i="1"/>
  <c r="J39" i="1" s="1"/>
  <c r="AK26" i="1"/>
  <c r="AL26" i="1" s="1"/>
  <c r="M39" i="1"/>
  <c r="O40" i="1"/>
  <c r="AG27" i="1"/>
  <c r="E28" i="1"/>
  <c r="F40" i="1" s="1"/>
  <c r="K28" i="1"/>
  <c r="T28" i="1" s="1"/>
  <c r="E40" i="1"/>
  <c r="T28" i="4" l="1"/>
  <c r="Q27" i="4"/>
  <c r="Y27" i="4"/>
  <c r="F28" i="4"/>
  <c r="G40" i="4" s="1"/>
  <c r="AH27" i="4"/>
  <c r="U28" i="4"/>
  <c r="B39" i="1"/>
  <c r="L28" i="1"/>
  <c r="U28" i="1" s="1"/>
  <c r="J27" i="1"/>
  <c r="P27" i="1"/>
  <c r="Y27" i="1" s="1"/>
  <c r="AH27" i="1"/>
  <c r="F28" i="1"/>
  <c r="B29" i="4" l="1"/>
  <c r="C41" i="4" s="1"/>
  <c r="R27" i="4"/>
  <c r="Z27" i="4"/>
  <c r="AI27" i="4"/>
  <c r="G28" i="4"/>
  <c r="N40" i="4"/>
  <c r="M28" i="4"/>
  <c r="C29" i="4"/>
  <c r="D41" i="4" s="1"/>
  <c r="C46" i="4" s="1"/>
  <c r="P41" i="4"/>
  <c r="Q27" i="1"/>
  <c r="Z27" i="1" s="1"/>
  <c r="B29" i="1"/>
  <c r="C41" i="1" s="1"/>
  <c r="M28" i="1"/>
  <c r="V28" i="1" s="1"/>
  <c r="G40" i="1"/>
  <c r="B46" i="4" l="1"/>
  <c r="AJ27" i="4"/>
  <c r="H28" i="4"/>
  <c r="I40" i="4" s="1"/>
  <c r="V28" i="4"/>
  <c r="AA27" i="4"/>
  <c r="AB27" i="4" s="1"/>
  <c r="Y10" i="4" s="1"/>
  <c r="Z10" i="4" s="1"/>
  <c r="S27" i="4"/>
  <c r="N28" i="4"/>
  <c r="W28" i="4" s="1"/>
  <c r="H40" i="4"/>
  <c r="C29" i="1"/>
  <c r="D41" i="1" s="1"/>
  <c r="P41" i="1"/>
  <c r="R27" i="1"/>
  <c r="AA27" i="1" s="1"/>
  <c r="AB27" i="1" s="1"/>
  <c r="G28" i="1"/>
  <c r="H40" i="1" s="1"/>
  <c r="AI27" i="1"/>
  <c r="N40" i="1"/>
  <c r="B46" i="1"/>
  <c r="AD28" i="1"/>
  <c r="O28" i="4" l="1"/>
  <c r="AD28" i="4"/>
  <c r="AF28" i="4"/>
  <c r="D29" i="4"/>
  <c r="E41" i="4" s="1"/>
  <c r="M40" i="4"/>
  <c r="I28" i="4"/>
  <c r="AK27" i="4"/>
  <c r="AL27" i="4" s="1"/>
  <c r="O41" i="4"/>
  <c r="E29" i="4"/>
  <c r="AG28" i="4"/>
  <c r="AE28" i="4"/>
  <c r="H28" i="1"/>
  <c r="AJ27" i="1"/>
  <c r="S27" i="1"/>
  <c r="N28" i="1"/>
  <c r="W28" i="1" s="1"/>
  <c r="D29" i="1"/>
  <c r="E41" i="1" s="1"/>
  <c r="AF28" i="1"/>
  <c r="C46" i="1"/>
  <c r="L29" i="4" l="1"/>
  <c r="F41" i="4"/>
  <c r="C47" i="4" s="1"/>
  <c r="X28" i="4"/>
  <c r="K29" i="4"/>
  <c r="B47" i="4"/>
  <c r="U29" i="4"/>
  <c r="P28" i="4"/>
  <c r="J28" i="4"/>
  <c r="J40" i="4"/>
  <c r="B40" i="4" s="1"/>
  <c r="O28" i="1"/>
  <c r="X28" i="1" s="1"/>
  <c r="I40" i="1"/>
  <c r="Y10" i="1"/>
  <c r="Z10" i="1" s="1"/>
  <c r="AK27" i="1"/>
  <c r="AL27" i="1" s="1"/>
  <c r="I28" i="1"/>
  <c r="J40" i="1" s="1"/>
  <c r="M40" i="1"/>
  <c r="K29" i="1"/>
  <c r="T29" i="1" s="1"/>
  <c r="B47" i="1"/>
  <c r="AH28" i="4" l="1"/>
  <c r="F29" i="4"/>
  <c r="G41" i="4" s="1"/>
  <c r="T29" i="4"/>
  <c r="P42" i="4" s="1"/>
  <c r="Y28" i="4"/>
  <c r="Q28" i="4"/>
  <c r="B40" i="1"/>
  <c r="AH28" i="1"/>
  <c r="F29" i="1"/>
  <c r="J28" i="1"/>
  <c r="P28" i="1"/>
  <c r="Y28" i="1" s="1"/>
  <c r="AE28" i="1"/>
  <c r="AG28" i="1"/>
  <c r="E29" i="1"/>
  <c r="F41" i="1" s="1"/>
  <c r="O41" i="1"/>
  <c r="M29" i="4" l="1"/>
  <c r="B48" i="4"/>
  <c r="AI28" i="4"/>
  <c r="G29" i="4"/>
  <c r="N41" i="4"/>
  <c r="Z28" i="4"/>
  <c r="R28" i="4"/>
  <c r="M29" i="1"/>
  <c r="V29" i="1" s="1"/>
  <c r="G41" i="1"/>
  <c r="B48" i="1" s="1"/>
  <c r="Q28" i="1"/>
  <c r="Z28" i="1" s="1"/>
  <c r="L29" i="1"/>
  <c r="U29" i="1" s="1"/>
  <c r="C47" i="1"/>
  <c r="V29" i="4" l="1"/>
  <c r="AJ28" i="4"/>
  <c r="H29" i="4"/>
  <c r="N29" i="4"/>
  <c r="W29" i="4" s="1"/>
  <c r="H41" i="4"/>
  <c r="AA28" i="4"/>
  <c r="AB28" i="4" s="1"/>
  <c r="Y11" i="4" s="1"/>
  <c r="Z11" i="4" s="1"/>
  <c r="S28" i="4"/>
  <c r="R28" i="1"/>
  <c r="AA28" i="1" s="1"/>
  <c r="AB28" i="1" s="1"/>
  <c r="AI28" i="1"/>
  <c r="G29" i="1"/>
  <c r="H41" i="1" s="1"/>
  <c r="N41" i="1"/>
  <c r="AD29" i="4" l="1"/>
  <c r="AF29" i="4"/>
  <c r="O42" i="4"/>
  <c r="AG29" i="4"/>
  <c r="AE29" i="4"/>
  <c r="C48" i="4"/>
  <c r="M41" i="4"/>
  <c r="I29" i="4"/>
  <c r="J29" i="4" s="1"/>
  <c r="AK28" i="4"/>
  <c r="AL28" i="4" s="1"/>
  <c r="O29" i="4"/>
  <c r="I41" i="4"/>
  <c r="AD29" i="1"/>
  <c r="AF29" i="1"/>
  <c r="AJ28" i="1"/>
  <c r="H29" i="1"/>
  <c r="S28" i="1"/>
  <c r="N29" i="1"/>
  <c r="W29" i="1" s="1"/>
  <c r="C48" i="1"/>
  <c r="P42" i="1"/>
  <c r="X29" i="4" l="1"/>
  <c r="AH29" i="4" s="1"/>
  <c r="P29" i="4"/>
  <c r="J41" i="4"/>
  <c r="C49" i="4" s="1"/>
  <c r="B49" i="4"/>
  <c r="B41" i="4"/>
  <c r="Y11" i="1"/>
  <c r="Z11" i="1" s="1"/>
  <c r="AK28" i="1"/>
  <c r="AL28" i="1" s="1"/>
  <c r="I29" i="1"/>
  <c r="J29" i="1" s="1"/>
  <c r="M41" i="1"/>
  <c r="O29" i="1"/>
  <c r="X29" i="1" s="1"/>
  <c r="I41" i="1"/>
  <c r="Y29" i="4" l="1"/>
  <c r="Q29" i="4"/>
  <c r="AH29" i="1"/>
  <c r="AE29" i="1"/>
  <c r="O42" i="1"/>
  <c r="AG29" i="1"/>
  <c r="B49" i="1"/>
  <c r="P29" i="1"/>
  <c r="Y29" i="1" s="1"/>
  <c r="J41" i="1"/>
  <c r="AI29" i="4" l="1"/>
  <c r="N42" i="4"/>
  <c r="Z29" i="4"/>
  <c r="R29" i="4"/>
  <c r="Q29" i="1"/>
  <c r="Z29" i="1" s="1"/>
  <c r="C49" i="1"/>
  <c r="B41" i="1"/>
  <c r="AC2" i="2" s="1" a="1"/>
  <c r="AC2" i="2" s="1"/>
  <c r="AJ29" i="4" l="1"/>
  <c r="AA29" i="4"/>
  <c r="AB29" i="4" s="1"/>
  <c r="Y12" i="4" s="1"/>
  <c r="Z12" i="4" s="1"/>
  <c r="S29" i="4"/>
  <c r="AI29" i="1"/>
  <c r="N42" i="1"/>
  <c r="R29" i="1"/>
  <c r="AA29" i="1" s="1"/>
  <c r="AB29" i="1" s="1"/>
  <c r="M42" i="4" l="1"/>
  <c r="AK29" i="4"/>
  <c r="AL29" i="4" s="1"/>
  <c r="S29" i="1"/>
  <c r="AJ29" i="1"/>
  <c r="Y12" i="1" l="1"/>
  <c r="Z12" i="1" s="1"/>
  <c r="AP2" i="2" s="1" a="1"/>
  <c r="AP2" i="2" s="1"/>
  <c r="A2" i="2" a="1"/>
  <c r="A2" i="2" s="1"/>
  <c r="AK29" i="1"/>
  <c r="AL29" i="1" s="1"/>
  <c r="M42" i="1"/>
  <c r="AL2" i="2" s="1" a="1"/>
  <c r="AL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<sst xmlns="http://schemas.openxmlformats.org/spreadsheetml/2006/main" count="328" uniqueCount="125">
  <si>
    <t>Greographic</t>
  </si>
  <si>
    <t>Model Assumptions</t>
  </si>
  <si>
    <t>Harvest Assumptions</t>
  </si>
  <si>
    <t>Preharvest Populations</t>
  </si>
  <si>
    <t>Natural Mortality</t>
  </si>
  <si>
    <t>Harvest</t>
  </si>
  <si>
    <t>Model Outcomes</t>
  </si>
  <si>
    <t>County</t>
  </si>
  <si>
    <t>Baldwin</t>
  </si>
  <si>
    <t>N_Preharvest</t>
  </si>
  <si>
    <t>antlered_harvest</t>
  </si>
  <si>
    <t>total</t>
  </si>
  <si>
    <t>male</t>
  </si>
  <si>
    <t>female</t>
  </si>
  <si>
    <t>finite_rate</t>
  </si>
  <si>
    <t>instantaeous_rate</t>
  </si>
  <si>
    <t>6mo_prob</t>
  </si>
  <si>
    <t>N_harvest</t>
  </si>
  <si>
    <t>Percent_harv</t>
  </si>
  <si>
    <t>Lambda</t>
  </si>
  <si>
    <t>Year</t>
  </si>
  <si>
    <t>antlerless_harvest</t>
  </si>
  <si>
    <t>N_preharvest_ad</t>
  </si>
  <si>
    <t>admale_nhm</t>
  </si>
  <si>
    <t>admale_harv</t>
  </si>
  <si>
    <t>NA</t>
  </si>
  <si>
    <t>Doe:Buck Ratio</t>
  </si>
  <si>
    <t>N_preharvest_y1</t>
  </si>
  <si>
    <t>adfemale_nhm</t>
  </si>
  <si>
    <t>adfemale_harv</t>
  </si>
  <si>
    <t>County Size</t>
  </si>
  <si>
    <r>
      <t>mile</t>
    </r>
    <r>
      <rPr>
        <vertAlign val="superscript"/>
        <sz val="11"/>
        <color theme="1"/>
        <rFont val="Aptos Narrow"/>
        <family val="2"/>
        <scheme val="minor"/>
      </rPr>
      <t>2</t>
    </r>
  </si>
  <si>
    <t>YearlingHarvRate_M</t>
  </si>
  <si>
    <t>N_preharvest_y</t>
  </si>
  <si>
    <t>yearmale_nhm</t>
  </si>
  <si>
    <t>y1male_harv</t>
  </si>
  <si>
    <t>Pop Density</t>
  </si>
  <si>
    <t>Demical_Doe</t>
  </si>
  <si>
    <t>YearlingHarvRate_F</t>
  </si>
  <si>
    <t>N_preharvest_F</t>
  </si>
  <si>
    <t>yearfemale_nhm</t>
  </si>
  <si>
    <t>y1female_harv</t>
  </si>
  <si>
    <t>Decimal_Buck</t>
  </si>
  <si>
    <t>FawnHarvRate</t>
  </si>
  <si>
    <t>fawnmale_nhm</t>
  </si>
  <si>
    <t>yearmale_harv</t>
  </si>
  <si>
    <t>fawnfemale_nhm</t>
  </si>
  <si>
    <t>yearfemale_harv</t>
  </si>
  <si>
    <t>Adult prop</t>
  </si>
  <si>
    <t>6mofawns_nhm</t>
  </si>
  <si>
    <t>fawnmale_harv</t>
  </si>
  <si>
    <t>Y1 prop</t>
  </si>
  <si>
    <t>fawnfemale_harv</t>
  </si>
  <si>
    <t>Yearling prop</t>
  </si>
  <si>
    <t>Fawn Prop</t>
  </si>
  <si>
    <t>adfemale_preg</t>
  </si>
  <si>
    <t>yfemale_preg</t>
  </si>
  <si>
    <t>Postharvest (January)</t>
  </si>
  <si>
    <t>Mid-Year (June)</t>
  </si>
  <si>
    <t>Preharvest (December)</t>
  </si>
  <si>
    <t>N_Non-harvest Mortality</t>
  </si>
  <si>
    <t>N_admale_posth</t>
  </si>
  <si>
    <t>N_adfemale_posth</t>
  </si>
  <si>
    <t>N_y1male_posth</t>
  </si>
  <si>
    <t>N_y1female_posth</t>
  </si>
  <si>
    <t>N_ymale_posth</t>
  </si>
  <si>
    <t>N_yfemale_posth</t>
  </si>
  <si>
    <t>Nfawnmale_posth</t>
  </si>
  <si>
    <t>N_fawnfemale_posth</t>
  </si>
  <si>
    <t>N_postharvest</t>
  </si>
  <si>
    <t>N_admale_mid</t>
  </si>
  <si>
    <t>N_adfemale_mid</t>
  </si>
  <si>
    <t>N_y1male_mid</t>
  </si>
  <si>
    <t>N_y1female_mid</t>
  </si>
  <si>
    <t>N_ymale_mid</t>
  </si>
  <si>
    <t>N_yfemale_mid</t>
  </si>
  <si>
    <t>birth_malefawn</t>
  </si>
  <si>
    <t>birth_femalefawn</t>
  </si>
  <si>
    <t>N_midseason</t>
  </si>
  <si>
    <t>N_admale_preh</t>
  </si>
  <si>
    <t>N_adfemale_preh</t>
  </si>
  <si>
    <t>N_y1male_preh</t>
  </si>
  <si>
    <t>N_y1female_preh</t>
  </si>
  <si>
    <t>N_ymale_preh</t>
  </si>
  <si>
    <t>N_yfemale_preh</t>
  </si>
  <si>
    <t>N_fawnmale_preh</t>
  </si>
  <si>
    <t>N_fawnfemale_preh</t>
  </si>
  <si>
    <t>N_preharvest</t>
  </si>
  <si>
    <t>Total_nhm</t>
  </si>
  <si>
    <t>Modeled Harvest Projections</t>
  </si>
  <si>
    <t>Combined Age Classes</t>
  </si>
  <si>
    <t>Model_Harvest</t>
  </si>
  <si>
    <t>Model_harvest_adM</t>
  </si>
  <si>
    <t>Model_harvest_adF</t>
  </si>
  <si>
    <t>Model_harvest_y1M</t>
  </si>
  <si>
    <t>Model_harvest_y1F</t>
  </si>
  <si>
    <t>Model_harvest_yM</t>
  </si>
  <si>
    <t>Model_harvest_yF</t>
  </si>
  <si>
    <t>Model_harvest_fawnM</t>
  </si>
  <si>
    <t>Model_harvest_fawnF</t>
  </si>
  <si>
    <t>N_CFawn</t>
  </si>
  <si>
    <t>N_Cyear</t>
  </si>
  <si>
    <t>N_CY1</t>
  </si>
  <si>
    <t>N_Cadult</t>
  </si>
  <si>
    <t>na</t>
  </si>
  <si>
    <t>Modeled Harvest Averages</t>
  </si>
  <si>
    <t>Male</t>
  </si>
  <si>
    <t>Female</t>
  </si>
  <si>
    <t>Mature Adult</t>
  </si>
  <si>
    <t>Young Adult</t>
  </si>
  <si>
    <t>Yearling</t>
  </si>
  <si>
    <t>Fawn</t>
  </si>
  <si>
    <t>Additional Mortality</t>
  </si>
  <si>
    <t>N_admale_addm</t>
  </si>
  <si>
    <t>N_adfemale_addm</t>
  </si>
  <si>
    <t>N_y1male_addm</t>
  </si>
  <si>
    <t>N_y1female_addm</t>
  </si>
  <si>
    <t>N_ymale_addm</t>
  </si>
  <si>
    <t>N_yfemale_addm</t>
  </si>
  <si>
    <t>Nfawnmale_addm</t>
  </si>
  <si>
    <t>N_fawnfemale_addm</t>
  </si>
  <si>
    <t>N_addm</t>
  </si>
  <si>
    <t>Type</t>
  </si>
  <si>
    <t>Baseline</t>
  </si>
  <si>
    <t>Increased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</si>
</sst>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0" fillId="2" borderId="1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6" xfId="0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  <protection locked="0"/>
    </xf>
    <xf numFmtId="0" fontId="0" fillId="2" borderId="8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2" borderId="10" xfId="0" applyFill="1" applyBorder="1" applyProtection="1">
      <protection locked="0"/>
    </xf>
    <xf numFmtId="0" fontId="0" fillId="3" borderId="11" xfId="0" applyFill="1" applyBorder="1" applyProtection="1">
      <protection locked="0"/>
    </xf>
    <xf numFmtId="0" fontId="0" fillId="4" borderId="8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9" xfId="0" applyFill="1" applyBorder="1" applyProtection="1">
      <protection locked="0"/>
    </xf>
    <xf numFmtId="0" fontId="0" fillId="4" borderId="8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4" borderId="12" xfId="0" applyFill="1" applyBorder="1" applyProtection="1">
      <protection locked="0"/>
    </xf>
    <xf numFmtId="0" fontId="0" fillId="4" borderId="13" xfId="0" applyFill="1" applyBorder="1" applyProtection="1">
      <protection locked="0"/>
    </xf>
    <xf numFmtId="0" fontId="0" fillId="5" borderId="0" xfId="0" applyFill="1" applyProtection="1">
      <protection locked="0"/>
    </xf>
    <xf numFmtId="0" fontId="0" fillId="5" borderId="9" xfId="0" applyFill="1" applyBorder="1" applyProtection="1">
      <protection locked="0"/>
    </xf>
    <xf numFmtId="0" fontId="0" fillId="3" borderId="0" xfId="0" applyFill="1"/>
    <xf numFmtId="1" fontId="0" fillId="5" borderId="0" xfId="0" applyNumberFormat="1" applyFill="1" applyProtection="1">
      <protection locked="0"/>
    </xf>
    <xf numFmtId="0" fontId="0" fillId="5" borderId="9" xfId="0" applyFill="1" applyBorder="1" applyAlignment="1" applyProtection="1">
      <alignment horizontal="right"/>
      <protection locked="0"/>
    </xf>
    <xf numFmtId="0" fontId="0" fillId="4" borderId="9" xfId="0" applyFill="1" applyBorder="1" applyProtection="1"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0" fillId="2" borderId="13" xfId="0" applyFill="1" applyBorder="1" applyAlignment="1" applyProtection="1">
      <alignment horizontal="center"/>
      <protection locked="0"/>
    </xf>
    <xf numFmtId="0" fontId="0" fillId="3" borderId="12" xfId="0" applyFill="1" applyBorder="1" applyProtection="1">
      <protection locked="0"/>
    </xf>
    <xf numFmtId="0" fontId="0" fillId="3" borderId="13" xfId="0" applyFill="1" applyBorder="1" applyProtection="1">
      <protection locked="0"/>
    </xf>
    <xf numFmtId="0" fontId="0" fillId="2" borderId="6" xfId="0" applyFill="1" applyBorder="1" applyProtection="1">
      <protection locked="0"/>
    </xf>
    <xf numFmtId="164" fontId="0" fillId="5" borderId="14" xfId="0" applyNumberFormat="1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0" fillId="5" borderId="13" xfId="0" applyFill="1" applyBorder="1" applyProtection="1">
      <protection locked="0"/>
    </xf>
    <xf numFmtId="0" fontId="0" fillId="3" borderId="14" xfId="0" applyFill="1" applyBorder="1" applyProtection="1">
      <protection locked="0"/>
    </xf>
    <xf numFmtId="0" fontId="0" fillId="3" borderId="7" xfId="0" applyFill="1" applyBorder="1"/>
    <xf numFmtId="1" fontId="0" fillId="5" borderId="7" xfId="0" applyNumberFormat="1" applyFill="1" applyBorder="1" applyProtection="1">
      <protection locked="0"/>
    </xf>
    <xf numFmtId="0" fontId="0" fillId="5" borderId="14" xfId="0" applyFill="1" applyBorder="1" applyProtection="1">
      <protection locked="0"/>
    </xf>
    <xf numFmtId="0" fontId="0" fillId="4" borderId="6" xfId="0" applyFill="1" applyBorder="1" applyProtection="1">
      <protection locked="0"/>
    </xf>
    <xf numFmtId="0" fontId="0" fillId="5" borderId="7" xfId="0" applyFill="1" applyBorder="1" applyProtection="1">
      <protection locked="0"/>
    </xf>
    <xf numFmtId="0" fontId="0" fillId="2" borderId="15" xfId="0" applyFill="1" applyBorder="1" applyProtection="1">
      <protection locked="0"/>
    </xf>
    <xf numFmtId="0" fontId="0" fillId="3" borderId="16" xfId="0" applyFill="1" applyBorder="1" applyProtection="1">
      <protection locked="0"/>
    </xf>
    <xf numFmtId="0" fontId="0" fillId="0" borderId="17" xfId="0" applyBorder="1" applyProtection="1">
      <protection locked="0"/>
    </xf>
    <xf numFmtId="0" fontId="0" fillId="2" borderId="18" xfId="0" applyFill="1" applyBorder="1" applyAlignment="1" applyProtection="1">
      <alignment horizontal="center"/>
      <protection locked="0"/>
    </xf>
    <xf numFmtId="0" fontId="0" fillId="2" borderId="19" xfId="0" applyFill="1" applyBorder="1" applyAlignment="1" applyProtection="1">
      <alignment horizontal="center"/>
      <protection locked="0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22" xfId="0" applyFill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4" xfId="0" applyFill="1" applyBorder="1" applyProtection="1">
      <protection locked="0"/>
    </xf>
    <xf numFmtId="0" fontId="0" fillId="2" borderId="25" xfId="0" applyFill="1" applyBorder="1" applyProtection="1">
      <protection locked="0"/>
    </xf>
    <xf numFmtId="0" fontId="0" fillId="2" borderId="26" xfId="0" applyFill="1" applyBorder="1"/>
    <xf numFmtId="0" fontId="0" fillId="2" borderId="0" xfId="0" applyFill="1"/>
    <xf numFmtId="0" fontId="0" fillId="4" borderId="27" xfId="0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0" fillId="5" borderId="26" xfId="0" applyFill="1" applyBorder="1"/>
    <xf numFmtId="0" fontId="0" fillId="5" borderId="0" xfId="0" applyFill="1"/>
    <xf numFmtId="0" fontId="0" fillId="4" borderId="0" xfId="0" applyFill="1"/>
    <xf numFmtId="0" fontId="0" fillId="2" borderId="0" xfId="0" applyFill="1" applyAlignment="1" applyProtection="1">
      <alignment horizontal="center"/>
      <protection locked="0"/>
    </xf>
    <xf numFmtId="0" fontId="0" fillId="4" borderId="0" xfId="0" applyFill="1" applyProtection="1">
      <protection locked="0"/>
    </xf>
    <xf numFmtId="0" fontId="0" fillId="2" borderId="26" xfId="0" applyFill="1" applyBorder="1" applyProtection="1">
      <protection locked="0"/>
    </xf>
    <xf numFmtId="0" fontId="0" fillId="0" borderId="0" xfId="0" applyFill="1" applyProtection="1">
      <protection locked="0"/>
    </xf>
    <xf numFmtId="0" fontId="0" fillId="0" borderId="0" xfId="0" applyFill="1" applyBorder="1" applyProtection="1">
      <protection locked="0"/>
    </xf>
    <xf numFmtId="0" fontId="0" fillId="0" borderId="0" xfId="0" applyFill="1" applyBorder="1"/>
    <xf numFmtId="0" fontId="0" fillId="0" borderId="0" xfId="0" applyBorder="1"/>
    <xf numFmtId="0" fontId="0" fillId="0" borderId="9" xfId="0" applyFill="1" applyBorder="1" applyProtection="1">
      <protection locked="0"/>
    </xf>
    <xf numFmtId="0" fontId="0" fillId="2" borderId="1" xfId="0" applyFill="1" applyBorder="1" applyProtection="1">
      <protection locked="0"/>
    </xf>
    <xf numFmtId="43" fontId="0" fillId="3" borderId="2" xfId="1" applyFont="1" applyFill="1" applyBorder="1" applyProtection="1">
      <protection locked="0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'AcCountDeer(Initial)'!$Y$2</c:f>
              <c:strCache>
                <c:ptCount val="1"/>
                <c:pt idx="0">
                  <c:v>N_Preharvest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'AcCountDeer(Initial)'!$X$3:$X$12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'AcCountDeer(Initial)'!$Y$3:$Y$12</c:f>
              <c:numCache>
                <c:formatCode>General</c:formatCode>
                <c:ptCount val="10"/>
                <c:pt idx="0">
                  <c:v>66668</c:v>
                </c:pt>
                <c:pt idx="1">
                  <c:v>65806</c:v>
                </c:pt>
                <c:pt idx="2">
                  <c:v>66335</c:v>
                </c:pt>
                <c:pt idx="3">
                  <c:v>66632</c:v>
                </c:pt>
                <c:pt idx="4">
                  <c:v>66650</c:v>
                </c:pt>
                <c:pt idx="5">
                  <c:v>66560</c:v>
                </c:pt>
                <c:pt idx="6">
                  <c:v>66389</c:v>
                </c:pt>
                <c:pt idx="7">
                  <c:v>66176</c:v>
                </c:pt>
                <c:pt idx="8">
                  <c:v>65942</c:v>
                </c:pt>
                <c:pt idx="9">
                  <c:v>65691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5F-40DF-9C09-13234B58B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878656"/>
        <c:axId val="1290874336"/>
      </c:lineChart>
      <c:catAx>
        <c:axId val="12908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4336"/>
        <c:crosses val="autoZero"/>
        <c:auto val="1"/>
        <c:lblAlgn val="ctr"/>
        <c:lblOffset val="100"/>
        <c:noMultiLvlLbl val="0"/>
      </c:catAx>
      <c:valAx>
        <c:axId val="1290874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Modeled Harvest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'AcCountDeer(Initial)'!$A$46:$A$49</c:f>
              <c:strCache>
                <c:ptCount val="4"/>
                <c:pt idx="0">
                  <c:v>Mature Adult</c:v>
                </c:pt>
                <c:pt idx="1">
                  <c:v>Young Adult</c:v>
                </c:pt>
                <c:pt idx="2">
                  <c:v>Yearling</c:v>
                </c:pt>
                <c:pt idx="3">
                  <c:v>Fawn</c:v>
                </c:pt>
              </c:strCache>
            </c:strRef>
          </c:cat>
          <c:val>
            <c:numRef>
              <c:f>'AcCountDeer(Initial)'!$B$46:$B$49</c:f>
              <c:numCache>
                <c:formatCode>General</c:formatCode>
                <c:ptCount val="4"/>
                <c:pt idx="0">
                  <c:v>2155.4444444444443</c:v>
                </c:pt>
                <c:pt idx="1">
                  <c:v>653.55555555555554</c:v>
                </c:pt>
                <c:pt idx="2">
                  <c:v>1218.1111111111111</c:v>
                </c:pt>
                <c:pt idx="3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64-4AC1-BE29-67CEB9CB7D64}"/>
            </c:ext>
          </c:extLst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'AcCountDeer(Initial)'!$A$46:$A$49</c:f>
              <c:strCache>
                <c:ptCount val="4"/>
                <c:pt idx="0">
                  <c:v>Mature Adult</c:v>
                </c:pt>
                <c:pt idx="1">
                  <c:v>Young Adult</c:v>
                </c:pt>
                <c:pt idx="2">
                  <c:v>Yearling</c:v>
                </c:pt>
                <c:pt idx="3">
                  <c:v>Fawn</c:v>
                </c:pt>
              </c:strCache>
            </c:strRef>
          </c:cat>
          <c:val>
            <c:numRef>
              <c:f>'AcCountDeer(Initial)'!$C$46:$C$49</c:f>
              <c:numCache>
                <c:formatCode>General</c:formatCode>
                <c:ptCount val="4"/>
                <c:pt idx="0">
                  <c:v>2360.1111111111113</c:v>
                </c:pt>
                <c:pt idx="1">
                  <c:v>706.44444444444446</c:v>
                </c:pt>
                <c:pt idx="2">
                  <c:v>457.11111111111109</c:v>
                </c:pt>
                <c:pt idx="3">
                  <c:v>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64-4AC1-BE29-67CEB9CB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939999"/>
        <c:axId val="1078940479"/>
      </c:barChart>
      <c:catAx>
        <c:axId val="107893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40479"/>
        <c:crosses val="autoZero"/>
        <c:auto val="1"/>
        <c:lblAlgn val="ctr"/>
        <c:lblOffset val="100"/>
        <c:noMultiLvlLbl val="0"/>
      </c:catAx>
      <c:valAx>
        <c:axId val="107894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Harvest</a:t>
                </a:r>
                <a:r>
                  <a:rPr lang="en-US" baseline="0"/>
                  <a:t>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'AcCountDeer(Trial1)'!$Y$2</c:f>
              <c:strCache>
                <c:ptCount val="1"/>
                <c:pt idx="0">
                  <c:v>N_Preharvest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'AcCountDeer(Trial1)'!$X$3:$X$12</c:f>
              <c:numCache>
                <c:formatCode>General</c:formatCode>
                <c:ptCount val="10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  <c:pt idx="6">
                  <c:v>2032</c:v>
                </c:pt>
                <c:pt idx="7">
                  <c:v>2033</c:v>
                </c:pt>
                <c:pt idx="8">
                  <c:v>2034</c:v>
                </c:pt>
                <c:pt idx="9">
                  <c:v>2035</c:v>
                </c:pt>
              </c:numCache>
            </c:numRef>
          </c:cat>
          <c:val>
            <c:numRef>
              <c:f>'AcCountDeer(Trial1)'!$Y$3:$Y$12</c:f>
              <c:numCache>
                <c:formatCode>General</c:formatCode>
                <c:ptCount val="10"/>
                <c:pt idx="0">
                  <c:v>60284</c:v>
                </c:pt>
                <c:pt idx="1">
                  <c:v>55347</c:v>
                </c:pt>
                <c:pt idx="2">
                  <c:v>51884</c:v>
                </c:pt>
                <c:pt idx="3">
                  <c:v>48578</c:v>
                </c:pt>
                <c:pt idx="4">
                  <c:v>45277</c:v>
                </c:pt>
                <c:pt idx="5">
                  <c:v>42166</c:v>
                </c:pt>
                <c:pt idx="6">
                  <c:v>39219</c:v>
                </c:pt>
                <c:pt idx="7">
                  <c:v>36457</c:v>
                </c:pt>
                <c:pt idx="8">
                  <c:v>33878</c:v>
                </c:pt>
                <c:pt idx="9">
                  <c:v>31475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3E-4B0B-AC1F-2E278C457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0878656"/>
        <c:axId val="1290874336"/>
      </c:lineChart>
      <c:catAx>
        <c:axId val="12908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4336"/>
        <c:crosses val="autoZero"/>
        <c:auto val="1"/>
        <c:lblAlgn val="ctr"/>
        <c:lblOffset val="100"/>
        <c:noMultiLvlLbl val="0"/>
      </c:catAx>
      <c:valAx>
        <c:axId val="1290874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Avg.</a:t>
            </a:r>
            <a:r>
              <a:rPr lang="en-US" baseline="0"/>
              <a:t> Modeled Harvest Projections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Male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'AcCountDeer(Trial1)'!$A$46:$A$49</c:f>
              <c:strCache>
                <c:ptCount val="4"/>
                <c:pt idx="0">
                  <c:v>Mature Adult</c:v>
                </c:pt>
                <c:pt idx="1">
                  <c:v>Young Adult</c:v>
                </c:pt>
                <c:pt idx="2">
                  <c:v>Yearling</c:v>
                </c:pt>
                <c:pt idx="3">
                  <c:v>Fawn</c:v>
                </c:pt>
              </c:strCache>
            </c:strRef>
          </c:cat>
          <c:val>
            <c:numRef>
              <c:f>'AcCountDeer(Trial1)'!$B$46:$B$49</c:f>
              <c:numCache>
                <c:formatCode>General</c:formatCode>
                <c:ptCount val="4"/>
                <c:pt idx="0">
                  <c:v>1761.6666666666667</c:v>
                </c:pt>
                <c:pt idx="1">
                  <c:v>451</c:v>
                </c:pt>
                <c:pt idx="2">
                  <c:v>1294.4444444444443</c:v>
                </c:pt>
                <c:pt idx="3">
                  <c:v>480.55555555555554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2-482D-91BA-1898336EFB32}"/>
            </c:ext>
          </c:extLst>
        </c:ser>
        <c:ser>
          <c:idx val="1"/>
          <c:order val="1"/>
          <c:tx>
            <c:v>Female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'AcCountDeer(Trial1)'!$A$46:$A$49</c:f>
              <c:strCache>
                <c:ptCount val="4"/>
                <c:pt idx="0">
                  <c:v>Mature Adult</c:v>
                </c:pt>
                <c:pt idx="1">
                  <c:v>Young Adult</c:v>
                </c:pt>
                <c:pt idx="2">
                  <c:v>Yearling</c:v>
                </c:pt>
                <c:pt idx="3">
                  <c:v>Fawn</c:v>
                </c:pt>
              </c:strCache>
            </c:strRef>
          </c:cat>
          <c:val>
            <c:numRef>
              <c:f>'AcCountDeer(Trial1)'!$C$46:$C$49</c:f>
              <c:numCache>
                <c:formatCode>General</c:formatCode>
                <c:ptCount val="4"/>
                <c:pt idx="0">
                  <c:v>2249.3333333333335</c:v>
                </c:pt>
                <c:pt idx="1">
                  <c:v>761.22222222222217</c:v>
                </c:pt>
                <c:pt idx="2">
                  <c:v>309.66666666666669</c:v>
                </c:pt>
                <c:pt idx="3">
                  <c:v>800.77777777777783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92-482D-91BA-1898336EF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8939999"/>
        <c:axId val="1078940479"/>
      </c:barChart>
      <c:catAx>
        <c:axId val="1078939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40479"/>
        <c:crosses val="autoZero"/>
        <c:auto val="1"/>
        <c:lblAlgn val="ctr"/>
        <c:lblOffset val="100"/>
        <c:noMultiLvlLbl val="0"/>
      </c:catAx>
      <c:valAx>
        <c:axId val="107894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Harvest</a:t>
                </a:r>
                <a:r>
                  <a:rPr lang="en-US" baseline="0"/>
                  <a:t>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3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861048</xdr:colOff>
      <xdr:row>30</xdr:row>
      <xdr:rowOff>3861</xdr:rowOff>
    </xdr:from>
    <xdr:to>
      <xdr:col>24</xdr:col>
      <xdr:colOff>280292</xdr:colOff>
      <xdr:row>46</xdr:row>
      <xdr:rowOff>94746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59F1BFA-28DF-4F82-B48D-E50B6FF21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64776</xdr:colOff>
      <xdr:row>29</xdr:row>
      <xdr:rowOff>121536</xdr:rowOff>
    </xdr:from>
    <xdr:to>
      <xdr:col>35</xdr:col>
      <xdr:colOff>56029</xdr:colOff>
      <xdr:row>47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6EE99E-212C-4613-883A-49FED4E68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861048</xdr:colOff>
      <xdr:row>30</xdr:row>
      <xdr:rowOff>3861</xdr:rowOff>
    </xdr:from>
    <xdr:to>
      <xdr:col>24</xdr:col>
      <xdr:colOff>280292</xdr:colOff>
      <xdr:row>46</xdr:row>
      <xdr:rowOff>94746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1D7FEE5-F424-4721-AA70-FC1A81D4D0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64776</xdr:colOff>
      <xdr:row>29</xdr:row>
      <xdr:rowOff>121536</xdr:rowOff>
    </xdr:from>
    <xdr:to>
      <xdr:col>35</xdr:col>
      <xdr:colOff>56029</xdr:colOff>
      <xdr:row>47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6919F-0169-40C9-9403-05F5F0F94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igermailauburn-my.sharepoint.com/personal/avb0033_auburn_edu/Documents/DeerPopMod/Excel%20model/AcCountDeer_Models/AcCountDeer_ManuscriptStates.xlsx" TargetMode="External"/><Relationship Id="rId1" Type="http://schemas.openxmlformats.org/officeDocument/2006/relationships/externalLinkPath" Target="AcCountDeer_ManuscriptSt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.v2(Baldwin)"/>
      <sheetName val="Model.v2(Jackson)"/>
      <sheetName val="Model.v2(Morgan)"/>
      <sheetName val="Model.v2(Cullman)"/>
      <sheetName val="r"/>
      <sheetName val="Metadata"/>
    </sheetNames>
    <sheetDataSet>
      <sheetData sheetId="0">
        <row r="2">
          <cell r="Y2" t="str">
            <v>N_Preharvest</v>
          </cell>
        </row>
        <row r="3">
          <cell r="X3">
            <v>2026</v>
          </cell>
          <cell r="Y3">
            <v>66668</v>
          </cell>
        </row>
        <row r="4">
          <cell r="X4">
            <v>2027</v>
          </cell>
          <cell r="Y4">
            <v>65806</v>
          </cell>
        </row>
        <row r="5">
          <cell r="X5">
            <v>2028</v>
          </cell>
          <cell r="Y5">
            <v>66335</v>
          </cell>
        </row>
        <row r="6">
          <cell r="X6">
            <v>2029</v>
          </cell>
          <cell r="Y6">
            <v>66632</v>
          </cell>
        </row>
        <row r="7">
          <cell r="X7">
            <v>2030</v>
          </cell>
          <cell r="Y7">
            <v>66650</v>
          </cell>
        </row>
        <row r="8">
          <cell r="X8">
            <v>2031</v>
          </cell>
          <cell r="Y8">
            <v>66560</v>
          </cell>
        </row>
        <row r="9">
          <cell r="X9">
            <v>2032</v>
          </cell>
          <cell r="Y9">
            <v>66389</v>
          </cell>
        </row>
        <row r="10">
          <cell r="X10">
            <v>2033</v>
          </cell>
          <cell r="Y10">
            <v>66176</v>
          </cell>
        </row>
        <row r="11">
          <cell r="X11">
            <v>2034</v>
          </cell>
          <cell r="Y11">
            <v>65942</v>
          </cell>
        </row>
        <row r="12">
          <cell r="X12">
            <v>2035</v>
          </cell>
          <cell r="Y12">
            <v>65691</v>
          </cell>
        </row>
        <row r="46">
          <cell r="A46" t="str">
            <v>Mature Adult</v>
          </cell>
          <cell r="B46">
            <v>2155.4444444444443</v>
          </cell>
          <cell r="C46">
            <v>2360.1111111111113</v>
          </cell>
        </row>
        <row r="47">
          <cell r="A47" t="str">
            <v>Young Adult</v>
          </cell>
          <cell r="B47">
            <v>653.55555555555554</v>
          </cell>
          <cell r="C47">
            <v>706.44444444444446</v>
          </cell>
        </row>
        <row r="48">
          <cell r="A48" t="str">
            <v>Yearling</v>
          </cell>
          <cell r="B48">
            <v>1218.1111111111111</v>
          </cell>
          <cell r="C48">
            <v>457.11111111111109</v>
          </cell>
        </row>
        <row r="49">
          <cell r="A49" t="str">
            <v>Fawn</v>
          </cell>
          <cell r="B49">
            <v>721</v>
          </cell>
          <cell r="C49">
            <v>601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0446E-B032-4CF9-A638-853B31899BD6}">
  <dimension ref="A1:AV55"/>
  <sheetViews>
    <sheetView topLeftCell="D1" zoomScale="63" zoomScaleNormal="100" workbookViewId="0">
      <selection activeCell="AC12" sqref="AC12"/>
    </sheetView>
  </sheetViews>
  <sheetFormatPr defaultColWidth="8.7265625" defaultRowHeight="14.5" x14ac:dyDescent="0.35"/>
  <cols>
    <col min="1" max="1" width="12.1796875" style="3" customWidth="1"/>
    <col min="2" max="2" width="14.26953125" style="3" customWidth="1"/>
    <col min="3" max="3" width="10.453125" style="3" customWidth="1"/>
    <col min="4" max="4" width="17.26953125" style="3" customWidth="1"/>
    <col min="5" max="5" width="14.54296875" style="3" customWidth="1"/>
    <col min="6" max="6" width="10.453125" style="3" customWidth="1"/>
    <col min="7" max="7" width="17.81640625" style="3" customWidth="1"/>
    <col min="8" max="8" width="8.7265625" style="3"/>
    <col min="9" max="9" width="16.7265625" style="3" customWidth="1"/>
    <col min="10" max="10" width="15.81640625" style="3" customWidth="1"/>
    <col min="11" max="11" width="14.54296875" style="3" customWidth="1"/>
    <col min="12" max="12" width="8.7265625" style="3"/>
    <col min="13" max="13" width="11.453125" style="3" customWidth="1"/>
    <col min="14" max="14" width="8.7265625" style="3"/>
    <col min="15" max="15" width="15" style="3" customWidth="1"/>
    <col min="16" max="16" width="8.7265625" style="3"/>
    <col min="17" max="17" width="12.54296875" style="3" customWidth="1"/>
    <col min="18" max="18" width="9.453125" style="3" customWidth="1"/>
    <col min="19" max="19" width="11.7265625" style="3" customWidth="1"/>
    <col min="20" max="20" width="15" style="3" customWidth="1"/>
    <col min="21" max="21" width="10.1796875" style="3" customWidth="1"/>
    <col min="22" max="22" width="12" style="3" customWidth="1"/>
    <col min="23" max="27" width="8.7265625" style="3"/>
    <col min="28" max="28" width="12.1796875" style="3" customWidth="1"/>
    <col min="29" max="16384" width="8.7265625" style="3"/>
  </cols>
  <sheetData>
    <row r="1" spans="1:26" x14ac:dyDescent="0.35">
      <c r="A1" s="1" t="s">
        <v>0</v>
      </c>
      <c r="B1" s="2"/>
      <c r="D1" s="4" t="s">
        <v>1</v>
      </c>
      <c r="E1" s="5"/>
      <c r="G1" s="1" t="s">
        <v>2</v>
      </c>
      <c r="H1" s="2"/>
      <c r="J1" s="1" t="s">
        <v>3</v>
      </c>
      <c r="K1" s="6"/>
      <c r="L1" s="6"/>
      <c r="M1" s="2"/>
      <c r="O1" s="1" t="s">
        <v>4</v>
      </c>
      <c r="P1" s="6"/>
      <c r="Q1" s="6"/>
      <c r="R1" s="2"/>
      <c r="T1" s="7" t="s">
        <v>5</v>
      </c>
      <c r="U1" s="8"/>
      <c r="V1" s="8"/>
      <c r="X1" s="1" t="s">
        <v>6</v>
      </c>
      <c r="Y1" s="6"/>
      <c r="Z1" s="2"/>
    </row>
    <row r="2" spans="1:26" x14ac:dyDescent="0.35">
      <c r="A2" s="9" t="s">
        <v>7</v>
      </c>
      <c r="B2" s="10" t="s">
        <v>8</v>
      </c>
      <c r="D2" s="11" t="s">
        <v>9</v>
      </c>
      <c r="E2" s="12">
        <v>65000</v>
      </c>
      <c r="G2" s="9" t="s">
        <v>10</v>
      </c>
      <c r="H2" s="10">
        <v>4495</v>
      </c>
      <c r="J2" s="13"/>
      <c r="K2" s="14" t="s">
        <v>11</v>
      </c>
      <c r="L2" s="14" t="s">
        <v>12</v>
      </c>
      <c r="M2" s="15" t="s">
        <v>13</v>
      </c>
      <c r="O2" s="13"/>
      <c r="P2" s="14" t="s">
        <v>14</v>
      </c>
      <c r="Q2" s="14" t="s">
        <v>15</v>
      </c>
      <c r="R2" s="15" t="s">
        <v>16</v>
      </c>
      <c r="T2" s="16"/>
      <c r="U2" s="17" t="s">
        <v>17</v>
      </c>
      <c r="V2" s="18" t="s">
        <v>18</v>
      </c>
      <c r="X2" s="9"/>
      <c r="Y2" s="14" t="s">
        <v>9</v>
      </c>
      <c r="Z2" s="15" t="s">
        <v>19</v>
      </c>
    </row>
    <row r="3" spans="1:26" x14ac:dyDescent="0.35">
      <c r="A3" s="9" t="s">
        <v>20</v>
      </c>
      <c r="B3" s="10">
        <v>2025</v>
      </c>
      <c r="D3" s="19"/>
      <c r="E3" s="20"/>
      <c r="G3" s="9" t="s">
        <v>21</v>
      </c>
      <c r="H3" s="10">
        <v>6968</v>
      </c>
      <c r="I3" s="3">
        <f>SUM(H2:H3)</f>
        <v>11463</v>
      </c>
      <c r="J3" s="9" t="s">
        <v>22</v>
      </c>
      <c r="K3" s="21">
        <f>ROUND(($E$2*E9),0)</f>
        <v>33150</v>
      </c>
      <c r="L3" s="21">
        <f>ROUND(K3*($E$7),0)</f>
        <v>14255</v>
      </c>
      <c r="M3" s="22">
        <f>ROUND((K3*$E$6),0)</f>
        <v>18896</v>
      </c>
      <c r="O3" s="9" t="s">
        <v>23</v>
      </c>
      <c r="P3" s="23">
        <v>0.2</v>
      </c>
      <c r="Q3" s="21">
        <f>LN(1-P3)</f>
        <v>-0.22314355131420971</v>
      </c>
      <c r="R3" s="22">
        <f>1-EXP(Q3*0.5)</f>
        <v>0.10557280900008414</v>
      </c>
      <c r="T3" s="9" t="s">
        <v>24</v>
      </c>
      <c r="U3" s="24">
        <f>H2-(U5+U7)</f>
        <v>3840.5280000000002</v>
      </c>
      <c r="V3" s="25">
        <f>ROUND((U3/L3),2)</f>
        <v>0.27</v>
      </c>
      <c r="X3" s="13">
        <v>2026</v>
      </c>
      <c r="Y3" s="21">
        <f t="shared" ref="Y3:Y12" si="0">AB20</f>
        <v>66668</v>
      </c>
      <c r="Z3" s="22" t="s">
        <v>25</v>
      </c>
    </row>
    <row r="4" spans="1:26" x14ac:dyDescent="0.35">
      <c r="A4" s="13"/>
      <c r="B4" s="26"/>
      <c r="D4" s="27" t="s">
        <v>26</v>
      </c>
      <c r="E4" s="28"/>
      <c r="G4" s="13"/>
      <c r="H4" s="26"/>
      <c r="J4" s="9" t="s">
        <v>27</v>
      </c>
      <c r="K4" s="21">
        <f>ROUND(($E$2*E10),0)</f>
        <v>2600</v>
      </c>
      <c r="L4" s="21">
        <f>ROUND(K4*($E$7),0)</f>
        <v>1118</v>
      </c>
      <c r="M4" s="22">
        <f>ROUND((K4*$E$6),0)</f>
        <v>1482</v>
      </c>
      <c r="O4" s="9" t="s">
        <v>28</v>
      </c>
      <c r="P4" s="23">
        <v>0.22900000000000001</v>
      </c>
      <c r="Q4" s="21">
        <f t="shared" ref="Q4:Q9" si="1">LN(1-P4)</f>
        <v>-0.26006690541880756</v>
      </c>
      <c r="R4" s="22">
        <f t="shared" ref="R4:R8" si="2">1-EXP(Q4*0.5)</f>
        <v>0.12193394325939233</v>
      </c>
      <c r="T4" s="9" t="s">
        <v>29</v>
      </c>
      <c r="U4" s="24">
        <f>H3-(SUM(U6,U8:U10))</f>
        <v>4682.4960000000001</v>
      </c>
      <c r="V4" s="22">
        <f>ROUND((U4/M3),2)</f>
        <v>0.25</v>
      </c>
      <c r="X4" s="13">
        <v>2027</v>
      </c>
      <c r="Y4" s="21">
        <f t="shared" si="0"/>
        <v>65806</v>
      </c>
      <c r="Z4" s="22">
        <f>ROUND((Y4/Y3),2)</f>
        <v>0.99</v>
      </c>
    </row>
    <row r="5" spans="1:26" ht="16.5" x14ac:dyDescent="0.35">
      <c r="A5" s="9" t="s">
        <v>30</v>
      </c>
      <c r="B5" s="10">
        <v>1589.9</v>
      </c>
      <c r="C5" s="3" t="s">
        <v>31</v>
      </c>
      <c r="D5" s="29">
        <v>130</v>
      </c>
      <c r="E5" s="30">
        <v>100</v>
      </c>
      <c r="G5" s="9" t="s">
        <v>32</v>
      </c>
      <c r="H5" s="10">
        <v>0.11</v>
      </c>
      <c r="J5" s="9" t="s">
        <v>33</v>
      </c>
      <c r="K5" s="21">
        <f>ROUND(($E$2*E11),0)</f>
        <v>13000</v>
      </c>
      <c r="L5" s="21">
        <f>ROUND(K5*($E$7),0)</f>
        <v>5590</v>
      </c>
      <c r="M5" s="22">
        <f>ROUND((K5*$E$6),0)</f>
        <v>7410</v>
      </c>
      <c r="O5" s="9" t="s">
        <v>34</v>
      </c>
      <c r="P5" s="23">
        <v>0.2</v>
      </c>
      <c r="Q5" s="21">
        <f t="shared" si="1"/>
        <v>-0.22314355131420971</v>
      </c>
      <c r="R5" s="22">
        <f t="shared" si="2"/>
        <v>0.10557280900008414</v>
      </c>
      <c r="T5" s="9" t="s">
        <v>35</v>
      </c>
      <c r="U5" s="24">
        <f>(H2-U7)*0.04</f>
        <v>160.02200000000002</v>
      </c>
      <c r="V5" s="22">
        <f>ROUND((U5/L4),2)</f>
        <v>0.14000000000000001</v>
      </c>
      <c r="X5" s="13">
        <v>2028</v>
      </c>
      <c r="Y5" s="21">
        <f t="shared" si="0"/>
        <v>66335</v>
      </c>
      <c r="Z5" s="22">
        <f t="shared" ref="Z5:Z12" si="3">ROUND((Y5/Y4),2)</f>
        <v>1.01</v>
      </c>
    </row>
    <row r="6" spans="1:26" x14ac:dyDescent="0.35">
      <c r="A6" s="31" t="s">
        <v>36</v>
      </c>
      <c r="B6" s="32">
        <f>AB20/B5</f>
        <v>41.9321969935216</v>
      </c>
      <c r="D6" s="33" t="s">
        <v>37</v>
      </c>
      <c r="E6" s="34">
        <f>ROUND(ROUND((D5*100)/(D5+100),2)/100,2)</f>
        <v>0.56999999999999995</v>
      </c>
      <c r="G6" s="9" t="s">
        <v>38</v>
      </c>
      <c r="H6" s="10">
        <v>0.18</v>
      </c>
      <c r="J6" s="31" t="s">
        <v>39</v>
      </c>
      <c r="K6" s="21">
        <f>ROUND(($E$2*E12),0)</f>
        <v>16250</v>
      </c>
      <c r="L6" s="21">
        <f>ROUND(K6*($E$7),0)</f>
        <v>6988</v>
      </c>
      <c r="M6" s="22">
        <f>ROUND((K6*$E$6),0)</f>
        <v>9263</v>
      </c>
      <c r="O6" s="9" t="s">
        <v>40</v>
      </c>
      <c r="P6" s="23">
        <v>0.12</v>
      </c>
      <c r="Q6" s="21">
        <f t="shared" si="1"/>
        <v>-0.12783337150988489</v>
      </c>
      <c r="R6" s="22">
        <f t="shared" si="2"/>
        <v>6.1916848035314054E-2</v>
      </c>
      <c r="T6" s="9" t="s">
        <v>41</v>
      </c>
      <c r="U6" s="24">
        <f>(H3-(SUM(U8:U10)))*E10</f>
        <v>195.10400000000001</v>
      </c>
      <c r="V6" s="22">
        <f>ROUND((U6/M4),2)</f>
        <v>0.13</v>
      </c>
      <c r="X6" s="13">
        <v>2029</v>
      </c>
      <c r="Y6" s="21">
        <f t="shared" si="0"/>
        <v>66632</v>
      </c>
      <c r="Z6" s="22">
        <f t="shared" si="3"/>
        <v>1</v>
      </c>
    </row>
    <row r="7" spans="1:26" x14ac:dyDescent="0.35">
      <c r="D7" s="33" t="s">
        <v>42</v>
      </c>
      <c r="E7" s="34">
        <f>1 -E6</f>
        <v>0.43000000000000005</v>
      </c>
      <c r="G7" s="31" t="s">
        <v>43</v>
      </c>
      <c r="H7" s="35">
        <v>0.12</v>
      </c>
      <c r="O7" s="9" t="s">
        <v>44</v>
      </c>
      <c r="P7" s="23">
        <v>0.45</v>
      </c>
      <c r="Q7" s="21">
        <f t="shared" si="1"/>
        <v>-0.59783700075562041</v>
      </c>
      <c r="R7" s="22">
        <f t="shared" si="2"/>
        <v>0.25838015129043368</v>
      </c>
      <c r="T7" s="9" t="s">
        <v>45</v>
      </c>
      <c r="U7" s="24">
        <f>H2*H5</f>
        <v>494.45</v>
      </c>
      <c r="V7" s="22">
        <f>ROUND((U7/L5),2)</f>
        <v>0.09</v>
      </c>
      <c r="X7" s="13">
        <v>2030</v>
      </c>
      <c r="Y7" s="21">
        <f t="shared" si="0"/>
        <v>66650</v>
      </c>
      <c r="Z7" s="22">
        <f>ROUND((Y7/Y6),2)</f>
        <v>1</v>
      </c>
    </row>
    <row r="8" spans="1:26" x14ac:dyDescent="0.35">
      <c r="A8" s="70" t="s">
        <v>122</v>
      </c>
      <c r="B8" s="71" t="s">
        <v>123</v>
      </c>
      <c r="D8" s="19"/>
      <c r="E8" s="20"/>
      <c r="O8" s="9" t="s">
        <v>46</v>
      </c>
      <c r="P8" s="23">
        <v>0.47</v>
      </c>
      <c r="Q8" s="21">
        <f t="shared" si="1"/>
        <v>-0.6348782724359695</v>
      </c>
      <c r="R8" s="22">
        <f t="shared" si="2"/>
        <v>0.27198901107194817</v>
      </c>
      <c r="T8" s="9" t="s">
        <v>47</v>
      </c>
      <c r="U8" s="24">
        <f>H3*H6</f>
        <v>1254.24</v>
      </c>
      <c r="V8" s="22">
        <f>ROUND((U8/M5),2)</f>
        <v>0.17</v>
      </c>
      <c r="X8" s="13">
        <v>2031</v>
      </c>
      <c r="Y8" s="21">
        <f t="shared" si="0"/>
        <v>66560</v>
      </c>
      <c r="Z8" s="22">
        <f t="shared" si="3"/>
        <v>1</v>
      </c>
    </row>
    <row r="9" spans="1:26" x14ac:dyDescent="0.35">
      <c r="D9" s="33" t="s">
        <v>48</v>
      </c>
      <c r="E9" s="30">
        <v>0.51</v>
      </c>
      <c r="O9" s="31" t="s">
        <v>49</v>
      </c>
      <c r="P9" s="36">
        <v>0.3</v>
      </c>
      <c r="Q9" s="21">
        <f t="shared" si="1"/>
        <v>-0.35667494393873245</v>
      </c>
      <c r="R9" s="22">
        <f>1-EXP(Q9*0.5)</f>
        <v>0.16333997346592444</v>
      </c>
      <c r="T9" s="9" t="s">
        <v>50</v>
      </c>
      <c r="U9" s="24">
        <f>H3*(H7/2)</f>
        <v>418.08</v>
      </c>
      <c r="V9" s="22">
        <f>ROUND((U9/L6),2)</f>
        <v>0.06</v>
      </c>
      <c r="X9" s="13">
        <v>2032</v>
      </c>
      <c r="Y9" s="21">
        <f t="shared" si="0"/>
        <v>66389</v>
      </c>
      <c r="Z9" s="22">
        <f t="shared" si="3"/>
        <v>1</v>
      </c>
    </row>
    <row r="10" spans="1:26" x14ac:dyDescent="0.35">
      <c r="D10" s="33" t="s">
        <v>51</v>
      </c>
      <c r="E10" s="30">
        <v>0.04</v>
      </c>
      <c r="T10" s="31" t="s">
        <v>52</v>
      </c>
      <c r="U10" s="37">
        <f>H3*(H7/2)</f>
        <v>418.08</v>
      </c>
      <c r="V10" s="38">
        <f>ROUND((U10/M6),2)</f>
        <v>0.05</v>
      </c>
      <c r="X10" s="13">
        <v>2033</v>
      </c>
      <c r="Y10" s="21">
        <f t="shared" si="0"/>
        <v>66176</v>
      </c>
      <c r="Z10" s="22">
        <f t="shared" si="3"/>
        <v>1</v>
      </c>
    </row>
    <row r="11" spans="1:26" x14ac:dyDescent="0.35">
      <c r="D11" s="33" t="s">
        <v>53</v>
      </c>
      <c r="E11" s="30">
        <v>0.2</v>
      </c>
      <c r="X11" s="13">
        <v>2034</v>
      </c>
      <c r="Y11" s="21">
        <f t="shared" si="0"/>
        <v>65942</v>
      </c>
      <c r="Z11" s="22">
        <f t="shared" si="3"/>
        <v>1</v>
      </c>
    </row>
    <row r="12" spans="1:26" x14ac:dyDescent="0.35">
      <c r="D12" s="33" t="s">
        <v>54</v>
      </c>
      <c r="E12" s="30">
        <v>0.25</v>
      </c>
      <c r="F12" s="3">
        <f>SUM(E9:E12)</f>
        <v>1</v>
      </c>
      <c r="X12" s="39">
        <v>2035</v>
      </c>
      <c r="Y12" s="40">
        <f t="shared" si="0"/>
        <v>65691</v>
      </c>
      <c r="Z12" s="22">
        <f t="shared" si="3"/>
        <v>1</v>
      </c>
    </row>
    <row r="13" spans="1:26" x14ac:dyDescent="0.35">
      <c r="D13" s="19"/>
      <c r="E13" s="20"/>
    </row>
    <row r="14" spans="1:26" x14ac:dyDescent="0.35">
      <c r="D14" s="33" t="s">
        <v>55</v>
      </c>
      <c r="E14" s="30">
        <v>1.6</v>
      </c>
    </row>
    <row r="15" spans="1:26" x14ac:dyDescent="0.35">
      <c r="D15" s="41" t="s">
        <v>56</v>
      </c>
      <c r="E15" s="42">
        <v>0.2</v>
      </c>
    </row>
    <row r="17" spans="1:48" ht="15" thickBot="1" x14ac:dyDescent="0.4">
      <c r="I17" s="43"/>
    </row>
    <row r="18" spans="1:48" ht="15" thickBot="1" x14ac:dyDescent="0.4">
      <c r="B18" s="44" t="s">
        <v>57</v>
      </c>
      <c r="C18" s="45"/>
      <c r="D18" s="45"/>
      <c r="E18" s="45"/>
      <c r="F18" s="45"/>
      <c r="G18" s="45"/>
      <c r="H18" s="45"/>
      <c r="I18" s="45"/>
      <c r="J18" s="46"/>
      <c r="K18" s="47" t="s">
        <v>58</v>
      </c>
      <c r="L18" s="48"/>
      <c r="M18" s="48"/>
      <c r="N18" s="48"/>
      <c r="O18" s="48"/>
      <c r="P18" s="48"/>
      <c r="Q18" s="48"/>
      <c r="R18" s="48"/>
      <c r="S18" s="49"/>
      <c r="T18" s="47" t="s">
        <v>59</v>
      </c>
      <c r="U18" s="48"/>
      <c r="V18" s="48"/>
      <c r="W18" s="48"/>
      <c r="X18" s="48"/>
      <c r="Y18" s="48"/>
      <c r="Z18" s="48"/>
      <c r="AA18" s="48"/>
      <c r="AB18" s="49"/>
      <c r="AD18" s="50" t="s">
        <v>60</v>
      </c>
      <c r="AE18" s="51"/>
      <c r="AF18" s="51"/>
      <c r="AG18" s="51"/>
      <c r="AH18" s="51"/>
      <c r="AI18" s="51"/>
      <c r="AJ18" s="51"/>
      <c r="AK18" s="51"/>
      <c r="AL18" s="52"/>
      <c r="AN18" s="50" t="s">
        <v>112</v>
      </c>
      <c r="AO18" s="51"/>
      <c r="AP18" s="51"/>
      <c r="AQ18" s="51"/>
      <c r="AR18" s="51"/>
      <c r="AS18" s="51"/>
      <c r="AT18" s="51"/>
      <c r="AU18" s="51"/>
      <c r="AV18" s="52"/>
    </row>
    <row r="19" spans="1:48" x14ac:dyDescent="0.35">
      <c r="A19" s="53" t="s">
        <v>20</v>
      </c>
      <c r="B19" s="54" t="s">
        <v>61</v>
      </c>
      <c r="C19" s="14" t="s">
        <v>62</v>
      </c>
      <c r="D19" s="14" t="s">
        <v>63</v>
      </c>
      <c r="E19" s="14" t="s">
        <v>64</v>
      </c>
      <c r="F19" s="14" t="s">
        <v>65</v>
      </c>
      <c r="G19" s="14" t="s">
        <v>66</v>
      </c>
      <c r="H19" s="14" t="s">
        <v>67</v>
      </c>
      <c r="I19" s="14" t="s">
        <v>68</v>
      </c>
      <c r="J19" s="14" t="s">
        <v>69</v>
      </c>
      <c r="K19" s="55" t="s">
        <v>70</v>
      </c>
      <c r="L19" s="56" t="s">
        <v>71</v>
      </c>
      <c r="M19" s="56" t="s">
        <v>72</v>
      </c>
      <c r="N19" s="56" t="s">
        <v>73</v>
      </c>
      <c r="O19" s="56" t="s">
        <v>74</v>
      </c>
      <c r="P19" s="56" t="s">
        <v>75</v>
      </c>
      <c r="Q19" s="56" t="s">
        <v>76</v>
      </c>
      <c r="R19" s="56" t="s">
        <v>77</v>
      </c>
      <c r="S19" s="14" t="s">
        <v>78</v>
      </c>
      <c r="T19" s="56" t="s">
        <v>79</v>
      </c>
      <c r="U19" s="56" t="s">
        <v>80</v>
      </c>
      <c r="V19" s="56" t="s">
        <v>81</v>
      </c>
      <c r="W19" s="56" t="s">
        <v>82</v>
      </c>
      <c r="X19" s="56" t="s">
        <v>83</v>
      </c>
      <c r="Y19" s="56" t="s">
        <v>84</v>
      </c>
      <c r="Z19" s="56" t="s">
        <v>85</v>
      </c>
      <c r="AA19" s="56" t="s">
        <v>86</v>
      </c>
      <c r="AB19" s="56" t="s">
        <v>87</v>
      </c>
      <c r="AD19" s="56" t="s">
        <v>79</v>
      </c>
      <c r="AE19" s="56" t="s">
        <v>80</v>
      </c>
      <c r="AF19" s="56" t="s">
        <v>81</v>
      </c>
      <c r="AG19" s="56" t="s">
        <v>82</v>
      </c>
      <c r="AH19" s="56" t="s">
        <v>83</v>
      </c>
      <c r="AI19" s="56" t="s">
        <v>84</v>
      </c>
      <c r="AJ19" s="56" t="s">
        <v>85</v>
      </c>
      <c r="AK19" s="56" t="s">
        <v>86</v>
      </c>
      <c r="AL19" s="56" t="s">
        <v>88</v>
      </c>
      <c r="AN19" s="64" t="s">
        <v>113</v>
      </c>
      <c r="AO19" s="14" t="s">
        <v>114</v>
      </c>
      <c r="AP19" s="14" t="s">
        <v>115</v>
      </c>
      <c r="AQ19" s="14" t="s">
        <v>116</v>
      </c>
      <c r="AR19" s="14" t="s">
        <v>117</v>
      </c>
      <c r="AS19" s="14" t="s">
        <v>118</v>
      </c>
      <c r="AT19" s="14" t="s">
        <v>119</v>
      </c>
      <c r="AU19" s="14" t="s">
        <v>120</v>
      </c>
      <c r="AV19" s="14" t="s">
        <v>121</v>
      </c>
    </row>
    <row r="20" spans="1:48" x14ac:dyDescent="0.35">
      <c r="A20" s="57">
        <v>2026</v>
      </c>
      <c r="B20" s="58">
        <f>ROUND((L3-(L3*V3)),0)</f>
        <v>10406</v>
      </c>
      <c r="C20" s="21">
        <f>ROUND((M3-(M3*V4)),0)</f>
        <v>14172</v>
      </c>
      <c r="D20" s="21">
        <f>ROUND((L4 - (L4*$V$5)),0)</f>
        <v>961</v>
      </c>
      <c r="E20" s="21">
        <f>ROUND((M4 - (M4*$V$6)),0)</f>
        <v>1289</v>
      </c>
      <c r="F20" s="21">
        <f>ROUND((L5-(L5*V7)),0)</f>
        <v>5087</v>
      </c>
      <c r="G20" s="21">
        <f>ROUND((M5-(M5*V8)),0)</f>
        <v>6150</v>
      </c>
      <c r="H20" s="21">
        <f>ROUND((L6 - (L6*V9)),0)</f>
        <v>6569</v>
      </c>
      <c r="I20" s="21">
        <f>ROUND((M6 - (M6*$V$10)),0)</f>
        <v>8800</v>
      </c>
      <c r="J20" s="21">
        <f>SUM(B20:I20)</f>
        <v>53434</v>
      </c>
      <c r="K20" s="59">
        <f t="shared" ref="K20:K29" si="4">ROUND((B20+D20) - ((B20+D20)*$R$3),0)</f>
        <v>10167</v>
      </c>
      <c r="L20" s="60">
        <f t="shared" ref="L20:L29" si="5">ROUND((C20+E20) - ((C20+E20)*$R$4),0)</f>
        <v>13576</v>
      </c>
      <c r="M20" s="60">
        <f t="shared" ref="M20:M29" si="6">ROUND((F20-(F20*$R$3)),0)</f>
        <v>4550</v>
      </c>
      <c r="N20" s="60">
        <f t="shared" ref="N20:N29" si="7">ROUND((G20-(G20*$R$4)),0)</f>
        <v>5400</v>
      </c>
      <c r="O20" s="60">
        <f t="shared" ref="O20:O29" si="8">ROUND((H20-(H20*$R$7)),0)</f>
        <v>4872</v>
      </c>
      <c r="P20" s="60">
        <f t="shared" ref="P20:P29" si="9">ROUND((I20-(I20*$R$8)),0)</f>
        <v>6406</v>
      </c>
      <c r="Q20" s="60">
        <f>ROUND((((L20*$E$14)+(P20*$E$15)+(N20*$E$14))/2),0)</f>
        <v>15821</v>
      </c>
      <c r="R20" s="60">
        <f t="shared" ref="R20:R29" si="10">Q20</f>
        <v>15821</v>
      </c>
      <c r="S20" s="21">
        <f t="shared" ref="S20:S29" si="11">SUM(K20:R20)</f>
        <v>76613</v>
      </c>
      <c r="T20" s="60">
        <f>ROUND(((K20) - ((K20)*$R$3)),0)-AN20</f>
        <v>9094</v>
      </c>
      <c r="U20" s="60">
        <f>ROUND(((L20) - ((L20)*$R$4)),0)-AO20</f>
        <v>11921</v>
      </c>
      <c r="V20" s="60">
        <f>ROUND((M20 -(M20*$R$3)),0)-AP20</f>
        <v>4070</v>
      </c>
      <c r="W20" s="60">
        <f>ROUND((N20 - (N20*$R$4)),0)-AQ20</f>
        <v>4742</v>
      </c>
      <c r="X20" s="60">
        <f>ROUND((O20 - (O20*$R$5)),0)-AR20</f>
        <v>4358</v>
      </c>
      <c r="Y20" s="60">
        <f>ROUND(((P20) - ((P20)*$R$6)),0)-AS20</f>
        <v>6009</v>
      </c>
      <c r="Z20" s="60">
        <f>ROUND((Q20 - (Q20*$R$9)),0)-AT20</f>
        <v>13237</v>
      </c>
      <c r="AA20" s="60">
        <f>ROUND(((R20) - ((R20)*$R$9)),0)-AU20</f>
        <v>13237</v>
      </c>
      <c r="AB20" s="60">
        <f>SUM(T20:AA20)</f>
        <v>66668</v>
      </c>
      <c r="AD20" s="21">
        <f t="shared" ref="AD20:AD29" si="12">ROUND(((T20+V20)*$R$3)+((K20)*$R$3), 0)</f>
        <v>2463</v>
      </c>
      <c r="AE20" s="21">
        <f t="shared" ref="AE20:AE29" si="13">ROUND(((U20+W20)*$R$4)+(L20*R4),0)</f>
        <v>3687</v>
      </c>
      <c r="AF20" s="21">
        <f t="shared" ref="AF20:AF29" si="14">ROUND(((V20)*$R$3)+(M20*$R$3),0)</f>
        <v>910</v>
      </c>
      <c r="AG20" s="21">
        <f t="shared" ref="AG20:AG29" si="15">ROUND(((W20)*$R$4)+(N20*$R$4),0)</f>
        <v>1237</v>
      </c>
      <c r="AH20" s="21">
        <f t="shared" ref="AH20:AH29" si="16">ROUND(((X20)*$R$5)+(O20*$R$5),0)</f>
        <v>974</v>
      </c>
      <c r="AI20" s="21">
        <f t="shared" ref="AI20:AI29" si="17">ROUND(((Y20)*$R$6)+(P20*$R$6),0)</f>
        <v>769</v>
      </c>
      <c r="AJ20" s="21">
        <f t="shared" ref="AJ20:AJ29" si="18">ROUND(((Z20)*$R$7)+(Q20*$R$7),0)</f>
        <v>7508</v>
      </c>
      <c r="AK20" s="21">
        <f t="shared" ref="AK20:AK29" si="19">ROUND(((AA20)*$R$8)+(R20*$R$8),0)</f>
        <v>7903</v>
      </c>
      <c r="AL20" s="21">
        <f>SUM(AD20:AK20)</f>
        <v>25451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f>SUM(AN20:AU20)</f>
        <v>0</v>
      </c>
    </row>
    <row r="21" spans="1:48" x14ac:dyDescent="0.35">
      <c r="A21" s="57">
        <v>2027</v>
      </c>
      <c r="B21" s="58">
        <f t="shared" ref="B21:B29" si="20">ROUND((T20-(T20*$V$3)),0)</f>
        <v>6639</v>
      </c>
      <c r="C21" s="21">
        <f t="shared" ref="C21:C29" si="21">ROUND((U20-(U20*$V$4)),0)</f>
        <v>8941</v>
      </c>
      <c r="D21" s="21">
        <f t="shared" ref="D21:D29" si="22">ROUND((V20 - (V20*$V$5)),0)</f>
        <v>3500</v>
      </c>
      <c r="E21" s="21">
        <f t="shared" ref="E21:E29" si="23">ROUND((W20 - (W20*$V$6)),0)</f>
        <v>4126</v>
      </c>
      <c r="F21" s="21">
        <f t="shared" ref="F21:F29" si="24">ROUND((X20-(X20*$V$8)),0)</f>
        <v>3617</v>
      </c>
      <c r="G21" s="21">
        <f t="shared" ref="G21:G29" si="25">ROUND((Y20-(Y20*$V$9)),0)</f>
        <v>5648</v>
      </c>
      <c r="H21" s="21">
        <f t="shared" ref="H21:H29" si="26">ROUND((Z20 - (Z20*$V$9)),0)</f>
        <v>12443</v>
      </c>
      <c r="I21" s="21">
        <f t="shared" ref="I21:I29" si="27">ROUND((AA20 - (AA20*$V$10)),0)</f>
        <v>12575</v>
      </c>
      <c r="J21" s="21">
        <f t="shared" ref="J21:J29" si="28">SUM(B21:I21)</f>
        <v>57489</v>
      </c>
      <c r="K21" s="59">
        <f t="shared" si="4"/>
        <v>9069</v>
      </c>
      <c r="L21" s="60">
        <f t="shared" si="5"/>
        <v>11474</v>
      </c>
      <c r="M21" s="60">
        <f t="shared" si="6"/>
        <v>3235</v>
      </c>
      <c r="N21" s="60">
        <f t="shared" si="7"/>
        <v>4959</v>
      </c>
      <c r="O21" s="60">
        <f t="shared" si="8"/>
        <v>9228</v>
      </c>
      <c r="P21" s="60">
        <f t="shared" si="9"/>
        <v>9155</v>
      </c>
      <c r="Q21" s="60">
        <f t="shared" ref="Q21:Q29" si="29">ROUND((((L21*$E$14)+(P21*$E$15)+(N21*$E$14))/2),0)</f>
        <v>14062</v>
      </c>
      <c r="R21" s="60">
        <f t="shared" si="10"/>
        <v>14062</v>
      </c>
      <c r="S21" s="21">
        <f t="shared" si="11"/>
        <v>75244</v>
      </c>
      <c r="T21" s="60">
        <f>ROUND(((K21) - ((K21)*$R$3)),0)-AN21</f>
        <v>8112</v>
      </c>
      <c r="U21" s="60">
        <f>ROUND(((L21) - ((L21)*$R$4)),0)-AO21</f>
        <v>10075</v>
      </c>
      <c r="V21" s="60">
        <f t="shared" ref="V21:V29" si="30">ROUND((M21 -(M21*$R$3)),0)-AP21</f>
        <v>2893</v>
      </c>
      <c r="W21" s="60">
        <f t="shared" ref="W21:W29" si="31">ROUND((N21 - (N21*$R$4)),0)-AQ21</f>
        <v>4354</v>
      </c>
      <c r="X21" s="60">
        <f t="shared" ref="X21:X29" si="32">ROUND((O21 - (O21*$R$5)),0)-AR21</f>
        <v>8254</v>
      </c>
      <c r="Y21" s="60">
        <f t="shared" ref="Y21:Y29" si="33">ROUND(((P21) - ((P21)*$R$6)),0)-AS21</f>
        <v>8588</v>
      </c>
      <c r="Z21" s="60">
        <f t="shared" ref="Z21:Z29" si="34">ROUND((Q21 - (Q21*$R$9)),0)-AT21</f>
        <v>11765</v>
      </c>
      <c r="AA21" s="60">
        <f t="shared" ref="AA21:AA29" si="35">ROUND(((R21) - ((R21)*$R$9)),0)-AU21</f>
        <v>11765</v>
      </c>
      <c r="AB21" s="60">
        <f t="shared" ref="AB21:AB29" si="36">SUM(T21:AA21)</f>
        <v>65806</v>
      </c>
      <c r="AD21" s="21">
        <f t="shared" si="12"/>
        <v>2119</v>
      </c>
      <c r="AE21" s="21">
        <f t="shared" si="13"/>
        <v>2971</v>
      </c>
      <c r="AF21" s="21">
        <f t="shared" si="14"/>
        <v>647</v>
      </c>
      <c r="AG21" s="21">
        <f t="shared" si="15"/>
        <v>1136</v>
      </c>
      <c r="AH21" s="21">
        <f t="shared" si="16"/>
        <v>1846</v>
      </c>
      <c r="AI21" s="21">
        <f t="shared" si="17"/>
        <v>1099</v>
      </c>
      <c r="AJ21" s="21">
        <f t="shared" si="18"/>
        <v>6673</v>
      </c>
      <c r="AK21" s="21">
        <f t="shared" si="19"/>
        <v>7025</v>
      </c>
      <c r="AL21" s="21">
        <f t="shared" ref="AL21:AL29" si="37">SUM(AD21:AK21)</f>
        <v>23516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f t="shared" ref="AV21:AV29" si="38">SUM(AN21:AU21)</f>
        <v>0</v>
      </c>
    </row>
    <row r="22" spans="1:48" x14ac:dyDescent="0.35">
      <c r="A22" s="57">
        <v>2028</v>
      </c>
      <c r="B22" s="58">
        <f t="shared" si="20"/>
        <v>5922</v>
      </c>
      <c r="C22" s="21">
        <f t="shared" si="21"/>
        <v>7556</v>
      </c>
      <c r="D22" s="21">
        <f t="shared" si="22"/>
        <v>2488</v>
      </c>
      <c r="E22" s="21">
        <f t="shared" si="23"/>
        <v>3788</v>
      </c>
      <c r="F22" s="21">
        <f t="shared" si="24"/>
        <v>6851</v>
      </c>
      <c r="G22" s="21">
        <f t="shared" si="25"/>
        <v>8073</v>
      </c>
      <c r="H22" s="21">
        <f t="shared" si="26"/>
        <v>11059</v>
      </c>
      <c r="I22" s="21">
        <f t="shared" si="27"/>
        <v>11177</v>
      </c>
      <c r="J22" s="21">
        <f t="shared" si="28"/>
        <v>56914</v>
      </c>
      <c r="K22" s="59">
        <f t="shared" si="4"/>
        <v>7522</v>
      </c>
      <c r="L22" s="60">
        <f t="shared" si="5"/>
        <v>9961</v>
      </c>
      <c r="M22" s="60">
        <f t="shared" si="6"/>
        <v>6128</v>
      </c>
      <c r="N22" s="60">
        <f t="shared" si="7"/>
        <v>7089</v>
      </c>
      <c r="O22" s="60">
        <f t="shared" si="8"/>
        <v>8202</v>
      </c>
      <c r="P22" s="60">
        <f t="shared" si="9"/>
        <v>8137</v>
      </c>
      <c r="Q22" s="60">
        <f t="shared" si="29"/>
        <v>14454</v>
      </c>
      <c r="R22" s="60">
        <f t="shared" si="10"/>
        <v>14454</v>
      </c>
      <c r="S22" s="21">
        <f t="shared" si="11"/>
        <v>75947</v>
      </c>
      <c r="T22" s="60">
        <f t="shared" ref="T22:T29" si="39">ROUND(((K22) - ((K22)*$R$3)),0)-AN22</f>
        <v>6728</v>
      </c>
      <c r="U22" s="60">
        <f t="shared" ref="U22:U29" si="40">ROUND(((L22) - ((L22)*$R$4)),0)-AO22</f>
        <v>8746</v>
      </c>
      <c r="V22" s="60">
        <f t="shared" si="30"/>
        <v>5481</v>
      </c>
      <c r="W22" s="60">
        <f t="shared" si="31"/>
        <v>6225</v>
      </c>
      <c r="X22" s="60">
        <f t="shared" si="32"/>
        <v>7336</v>
      </c>
      <c r="Y22" s="60">
        <f t="shared" si="33"/>
        <v>7633</v>
      </c>
      <c r="Z22" s="60">
        <f t="shared" si="34"/>
        <v>12093</v>
      </c>
      <c r="AA22" s="60">
        <f t="shared" si="35"/>
        <v>12093</v>
      </c>
      <c r="AB22" s="60">
        <f t="shared" si="36"/>
        <v>66335</v>
      </c>
      <c r="AD22" s="21">
        <f t="shared" si="12"/>
        <v>2083</v>
      </c>
      <c r="AE22" s="21">
        <f t="shared" si="13"/>
        <v>2442</v>
      </c>
      <c r="AF22" s="21">
        <f t="shared" si="14"/>
        <v>1226</v>
      </c>
      <c r="AG22" s="21">
        <f t="shared" si="15"/>
        <v>1623</v>
      </c>
      <c r="AH22" s="21">
        <f t="shared" si="16"/>
        <v>1640</v>
      </c>
      <c r="AI22" s="21">
        <f t="shared" si="17"/>
        <v>976</v>
      </c>
      <c r="AJ22" s="21">
        <f t="shared" si="18"/>
        <v>6859</v>
      </c>
      <c r="AK22" s="21">
        <f t="shared" si="19"/>
        <v>7220</v>
      </c>
      <c r="AL22" s="21">
        <f t="shared" si="37"/>
        <v>24069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f t="shared" si="38"/>
        <v>0</v>
      </c>
    </row>
    <row r="23" spans="1:48" x14ac:dyDescent="0.35">
      <c r="A23" s="57">
        <v>2029</v>
      </c>
      <c r="B23" s="58">
        <f t="shared" si="20"/>
        <v>4911</v>
      </c>
      <c r="C23" s="21">
        <f t="shared" si="21"/>
        <v>6560</v>
      </c>
      <c r="D23" s="21">
        <f t="shared" si="22"/>
        <v>4714</v>
      </c>
      <c r="E23" s="21">
        <f t="shared" si="23"/>
        <v>5416</v>
      </c>
      <c r="F23" s="21">
        <f t="shared" si="24"/>
        <v>6089</v>
      </c>
      <c r="G23" s="21">
        <f t="shared" si="25"/>
        <v>7175</v>
      </c>
      <c r="H23" s="21">
        <f t="shared" si="26"/>
        <v>11367</v>
      </c>
      <c r="I23" s="21">
        <f t="shared" si="27"/>
        <v>11488</v>
      </c>
      <c r="J23" s="21">
        <f t="shared" si="28"/>
        <v>57720</v>
      </c>
      <c r="K23" s="59">
        <f t="shared" si="4"/>
        <v>8609</v>
      </c>
      <c r="L23" s="60">
        <f t="shared" si="5"/>
        <v>10516</v>
      </c>
      <c r="M23" s="60">
        <f t="shared" si="6"/>
        <v>5446</v>
      </c>
      <c r="N23" s="60">
        <f t="shared" si="7"/>
        <v>6300</v>
      </c>
      <c r="O23" s="60">
        <f t="shared" si="8"/>
        <v>8430</v>
      </c>
      <c r="P23" s="60">
        <f t="shared" si="9"/>
        <v>8363</v>
      </c>
      <c r="Q23" s="60">
        <f t="shared" si="29"/>
        <v>14289</v>
      </c>
      <c r="R23" s="60">
        <f t="shared" si="10"/>
        <v>14289</v>
      </c>
      <c r="S23" s="21">
        <f t="shared" si="11"/>
        <v>76242</v>
      </c>
      <c r="T23" s="60">
        <f t="shared" si="39"/>
        <v>7700</v>
      </c>
      <c r="U23" s="60">
        <f t="shared" si="40"/>
        <v>9234</v>
      </c>
      <c r="V23" s="60">
        <f t="shared" si="30"/>
        <v>4871</v>
      </c>
      <c r="W23" s="60">
        <f t="shared" si="31"/>
        <v>5532</v>
      </c>
      <c r="X23" s="60">
        <f t="shared" si="32"/>
        <v>7540</v>
      </c>
      <c r="Y23" s="60">
        <f t="shared" si="33"/>
        <v>7845</v>
      </c>
      <c r="Z23" s="60">
        <f t="shared" si="34"/>
        <v>11955</v>
      </c>
      <c r="AA23" s="60">
        <f t="shared" si="35"/>
        <v>11955</v>
      </c>
      <c r="AB23" s="60">
        <f t="shared" si="36"/>
        <v>66632</v>
      </c>
      <c r="AD23" s="21">
        <f t="shared" si="12"/>
        <v>2236</v>
      </c>
      <c r="AE23" s="21">
        <f t="shared" si="13"/>
        <v>4518</v>
      </c>
      <c r="AF23" s="21">
        <f t="shared" si="14"/>
        <v>1089</v>
      </c>
      <c r="AG23" s="21">
        <f t="shared" si="15"/>
        <v>1443</v>
      </c>
      <c r="AH23" s="21">
        <f t="shared" si="16"/>
        <v>1686</v>
      </c>
      <c r="AI23" s="21">
        <f t="shared" si="17"/>
        <v>1004</v>
      </c>
      <c r="AJ23" s="21">
        <f t="shared" si="18"/>
        <v>6781</v>
      </c>
      <c r="AK23" s="21">
        <f t="shared" si="19"/>
        <v>7138</v>
      </c>
      <c r="AL23" s="21">
        <f t="shared" si="37"/>
        <v>25895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f t="shared" si="38"/>
        <v>0</v>
      </c>
    </row>
    <row r="24" spans="1:48" x14ac:dyDescent="0.35">
      <c r="A24" s="57">
        <v>2030</v>
      </c>
      <c r="B24" s="58">
        <f t="shared" si="20"/>
        <v>5621</v>
      </c>
      <c r="C24" s="21">
        <f t="shared" si="21"/>
        <v>6926</v>
      </c>
      <c r="D24" s="21">
        <f t="shared" si="22"/>
        <v>4189</v>
      </c>
      <c r="E24" s="21">
        <f t="shared" si="23"/>
        <v>4813</v>
      </c>
      <c r="F24" s="21">
        <f t="shared" si="24"/>
        <v>6258</v>
      </c>
      <c r="G24" s="21">
        <f t="shared" si="25"/>
        <v>7374</v>
      </c>
      <c r="H24" s="21">
        <f t="shared" si="26"/>
        <v>11238</v>
      </c>
      <c r="I24" s="21">
        <f t="shared" si="27"/>
        <v>11357</v>
      </c>
      <c r="J24" s="21">
        <f t="shared" si="28"/>
        <v>57776</v>
      </c>
      <c r="K24" s="59">
        <f t="shared" si="4"/>
        <v>8774</v>
      </c>
      <c r="L24" s="60">
        <f t="shared" si="5"/>
        <v>10308</v>
      </c>
      <c r="M24" s="60">
        <f t="shared" si="6"/>
        <v>5597</v>
      </c>
      <c r="N24" s="60">
        <f t="shared" si="7"/>
        <v>6475</v>
      </c>
      <c r="O24" s="60">
        <f t="shared" si="8"/>
        <v>8334</v>
      </c>
      <c r="P24" s="60">
        <f t="shared" si="9"/>
        <v>8268</v>
      </c>
      <c r="Q24" s="60">
        <f t="shared" si="29"/>
        <v>14253</v>
      </c>
      <c r="R24" s="60">
        <f t="shared" si="10"/>
        <v>14253</v>
      </c>
      <c r="S24" s="21">
        <f t="shared" si="11"/>
        <v>76262</v>
      </c>
      <c r="T24" s="60">
        <f t="shared" si="39"/>
        <v>7848</v>
      </c>
      <c r="U24" s="60">
        <f t="shared" si="40"/>
        <v>9051</v>
      </c>
      <c r="V24" s="60">
        <f t="shared" si="30"/>
        <v>5006</v>
      </c>
      <c r="W24" s="60">
        <f t="shared" si="31"/>
        <v>5685</v>
      </c>
      <c r="X24" s="60">
        <f t="shared" si="32"/>
        <v>7454</v>
      </c>
      <c r="Y24" s="60">
        <f t="shared" si="33"/>
        <v>7756</v>
      </c>
      <c r="Z24" s="60">
        <f t="shared" si="34"/>
        <v>11925</v>
      </c>
      <c r="AA24" s="60">
        <f t="shared" si="35"/>
        <v>11925</v>
      </c>
      <c r="AB24" s="60">
        <f t="shared" si="36"/>
        <v>66650</v>
      </c>
      <c r="AD24" s="21">
        <f t="shared" si="12"/>
        <v>2283</v>
      </c>
      <c r="AE24" s="21">
        <f t="shared" si="13"/>
        <v>4600</v>
      </c>
      <c r="AF24" s="21">
        <f t="shared" si="14"/>
        <v>1119</v>
      </c>
      <c r="AG24" s="21">
        <f t="shared" si="15"/>
        <v>1483</v>
      </c>
      <c r="AH24" s="21">
        <f t="shared" si="16"/>
        <v>1667</v>
      </c>
      <c r="AI24" s="21">
        <f t="shared" si="17"/>
        <v>992</v>
      </c>
      <c r="AJ24" s="21">
        <f t="shared" si="18"/>
        <v>6764</v>
      </c>
      <c r="AK24" s="21">
        <f t="shared" si="19"/>
        <v>7120</v>
      </c>
      <c r="AL24" s="21">
        <f t="shared" si="37"/>
        <v>26028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f t="shared" si="38"/>
        <v>0</v>
      </c>
    </row>
    <row r="25" spans="1:48" x14ac:dyDescent="0.35">
      <c r="A25" s="57">
        <v>2031</v>
      </c>
      <c r="B25" s="58">
        <f t="shared" si="20"/>
        <v>5729</v>
      </c>
      <c r="C25" s="21">
        <f t="shared" si="21"/>
        <v>6788</v>
      </c>
      <c r="D25" s="21">
        <f t="shared" si="22"/>
        <v>4305</v>
      </c>
      <c r="E25" s="21">
        <f t="shared" si="23"/>
        <v>4946</v>
      </c>
      <c r="F25" s="21">
        <f t="shared" si="24"/>
        <v>6187</v>
      </c>
      <c r="G25" s="21">
        <f t="shared" si="25"/>
        <v>7291</v>
      </c>
      <c r="H25" s="21">
        <f t="shared" si="26"/>
        <v>11210</v>
      </c>
      <c r="I25" s="21">
        <f t="shared" si="27"/>
        <v>11329</v>
      </c>
      <c r="J25" s="21">
        <f t="shared" si="28"/>
        <v>57785</v>
      </c>
      <c r="K25" s="59">
        <f t="shared" si="4"/>
        <v>8975</v>
      </c>
      <c r="L25" s="60">
        <f t="shared" si="5"/>
        <v>10303</v>
      </c>
      <c r="M25" s="60">
        <f t="shared" si="6"/>
        <v>5534</v>
      </c>
      <c r="N25" s="60">
        <f t="shared" si="7"/>
        <v>6402</v>
      </c>
      <c r="O25" s="60">
        <f t="shared" si="8"/>
        <v>8314</v>
      </c>
      <c r="P25" s="60">
        <f t="shared" si="9"/>
        <v>8248</v>
      </c>
      <c r="Q25" s="60">
        <f t="shared" si="29"/>
        <v>14189</v>
      </c>
      <c r="R25" s="60">
        <f t="shared" si="10"/>
        <v>14189</v>
      </c>
      <c r="S25" s="21">
        <f t="shared" si="11"/>
        <v>76154</v>
      </c>
      <c r="T25" s="60">
        <f t="shared" si="39"/>
        <v>8027</v>
      </c>
      <c r="U25" s="60">
        <f t="shared" si="40"/>
        <v>9047</v>
      </c>
      <c r="V25" s="60">
        <f t="shared" si="30"/>
        <v>4950</v>
      </c>
      <c r="W25" s="60">
        <f t="shared" si="31"/>
        <v>5621</v>
      </c>
      <c r="X25" s="60">
        <f t="shared" si="32"/>
        <v>7436</v>
      </c>
      <c r="Y25" s="60">
        <f t="shared" si="33"/>
        <v>7737</v>
      </c>
      <c r="Z25" s="60">
        <f t="shared" si="34"/>
        <v>11871</v>
      </c>
      <c r="AA25" s="60">
        <f t="shared" si="35"/>
        <v>11871</v>
      </c>
      <c r="AB25" s="60">
        <f t="shared" si="36"/>
        <v>66560</v>
      </c>
      <c r="AD25" s="21">
        <f t="shared" si="12"/>
        <v>2318</v>
      </c>
      <c r="AE25" s="21">
        <f t="shared" si="13"/>
        <v>3471</v>
      </c>
      <c r="AF25" s="21">
        <f t="shared" si="14"/>
        <v>1107</v>
      </c>
      <c r="AG25" s="21">
        <f t="shared" si="15"/>
        <v>1466</v>
      </c>
      <c r="AH25" s="21">
        <f t="shared" si="16"/>
        <v>1663</v>
      </c>
      <c r="AI25" s="21">
        <f t="shared" si="17"/>
        <v>990</v>
      </c>
      <c r="AJ25" s="21">
        <f t="shared" si="18"/>
        <v>6733</v>
      </c>
      <c r="AK25" s="21">
        <f t="shared" si="19"/>
        <v>7088</v>
      </c>
      <c r="AL25" s="21">
        <f t="shared" si="37"/>
        <v>24836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f t="shared" si="38"/>
        <v>0</v>
      </c>
    </row>
    <row r="26" spans="1:48" x14ac:dyDescent="0.35">
      <c r="A26" s="57">
        <v>2032</v>
      </c>
      <c r="B26" s="58">
        <f t="shared" si="20"/>
        <v>5860</v>
      </c>
      <c r="C26" s="21">
        <f t="shared" si="21"/>
        <v>6785</v>
      </c>
      <c r="D26" s="21">
        <f t="shared" si="22"/>
        <v>4257</v>
      </c>
      <c r="E26" s="21">
        <f t="shared" si="23"/>
        <v>4890</v>
      </c>
      <c r="F26" s="21">
        <f t="shared" si="24"/>
        <v>6172</v>
      </c>
      <c r="G26" s="21">
        <f t="shared" si="25"/>
        <v>7273</v>
      </c>
      <c r="H26" s="21">
        <f t="shared" si="26"/>
        <v>11159</v>
      </c>
      <c r="I26" s="21">
        <f t="shared" si="27"/>
        <v>11277</v>
      </c>
      <c r="J26" s="21">
        <f t="shared" si="28"/>
        <v>57673</v>
      </c>
      <c r="K26" s="59">
        <f t="shared" si="4"/>
        <v>9049</v>
      </c>
      <c r="L26" s="60">
        <f t="shared" si="5"/>
        <v>10251</v>
      </c>
      <c r="M26" s="60">
        <f t="shared" si="6"/>
        <v>5520</v>
      </c>
      <c r="N26" s="60">
        <f t="shared" si="7"/>
        <v>6386</v>
      </c>
      <c r="O26" s="60">
        <f t="shared" si="8"/>
        <v>8276</v>
      </c>
      <c r="P26" s="60">
        <f t="shared" si="9"/>
        <v>8210</v>
      </c>
      <c r="Q26" s="60">
        <f t="shared" si="29"/>
        <v>14131</v>
      </c>
      <c r="R26" s="60">
        <f t="shared" si="10"/>
        <v>14131</v>
      </c>
      <c r="S26" s="21">
        <f t="shared" si="11"/>
        <v>75954</v>
      </c>
      <c r="T26" s="60">
        <f t="shared" si="39"/>
        <v>8094</v>
      </c>
      <c r="U26" s="60">
        <f t="shared" si="40"/>
        <v>9001</v>
      </c>
      <c r="V26" s="60">
        <f t="shared" si="30"/>
        <v>4937</v>
      </c>
      <c r="W26" s="60">
        <f t="shared" si="31"/>
        <v>5607</v>
      </c>
      <c r="X26" s="60">
        <f t="shared" si="32"/>
        <v>7402</v>
      </c>
      <c r="Y26" s="60">
        <f t="shared" si="33"/>
        <v>7702</v>
      </c>
      <c r="Z26" s="60">
        <f t="shared" si="34"/>
        <v>11823</v>
      </c>
      <c r="AA26" s="60">
        <f t="shared" si="35"/>
        <v>11823</v>
      </c>
      <c r="AB26" s="60">
        <f t="shared" si="36"/>
        <v>66389</v>
      </c>
      <c r="AD26" s="21">
        <f t="shared" si="12"/>
        <v>2331</v>
      </c>
      <c r="AE26" s="21">
        <f t="shared" si="13"/>
        <v>1781</v>
      </c>
      <c r="AF26" s="21">
        <f t="shared" si="14"/>
        <v>1104</v>
      </c>
      <c r="AG26" s="21">
        <f t="shared" si="15"/>
        <v>1462</v>
      </c>
      <c r="AH26" s="21">
        <f t="shared" si="16"/>
        <v>1655</v>
      </c>
      <c r="AI26" s="21">
        <f t="shared" si="17"/>
        <v>985</v>
      </c>
      <c r="AJ26" s="21">
        <f t="shared" si="18"/>
        <v>6706</v>
      </c>
      <c r="AK26" s="21">
        <f t="shared" si="19"/>
        <v>7059</v>
      </c>
      <c r="AL26" s="21">
        <f t="shared" si="37"/>
        <v>23083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38"/>
        <v>0</v>
      </c>
    </row>
    <row r="27" spans="1:48" x14ac:dyDescent="0.35">
      <c r="A27" s="57">
        <v>2033</v>
      </c>
      <c r="B27" s="58">
        <f t="shared" si="20"/>
        <v>5909</v>
      </c>
      <c r="C27" s="21">
        <f t="shared" si="21"/>
        <v>6751</v>
      </c>
      <c r="D27" s="21">
        <f t="shared" si="22"/>
        <v>4246</v>
      </c>
      <c r="E27" s="21">
        <f t="shared" si="23"/>
        <v>4878</v>
      </c>
      <c r="F27" s="21">
        <f t="shared" si="24"/>
        <v>6144</v>
      </c>
      <c r="G27" s="21">
        <f t="shared" si="25"/>
        <v>7240</v>
      </c>
      <c r="H27" s="21">
        <f t="shared" si="26"/>
        <v>11114</v>
      </c>
      <c r="I27" s="21">
        <f t="shared" si="27"/>
        <v>11232</v>
      </c>
      <c r="J27" s="21">
        <f t="shared" si="28"/>
        <v>57514</v>
      </c>
      <c r="K27" s="59">
        <f t="shared" si="4"/>
        <v>9083</v>
      </c>
      <c r="L27" s="60">
        <f t="shared" si="5"/>
        <v>10211</v>
      </c>
      <c r="M27" s="60">
        <f t="shared" si="6"/>
        <v>5495</v>
      </c>
      <c r="N27" s="60">
        <f t="shared" si="7"/>
        <v>6357</v>
      </c>
      <c r="O27" s="60">
        <f t="shared" si="8"/>
        <v>8242</v>
      </c>
      <c r="P27" s="60">
        <f t="shared" si="9"/>
        <v>8177</v>
      </c>
      <c r="Q27" s="60">
        <f t="shared" si="29"/>
        <v>14072</v>
      </c>
      <c r="R27" s="60">
        <f t="shared" si="10"/>
        <v>14072</v>
      </c>
      <c r="S27" s="21">
        <f t="shared" si="11"/>
        <v>75709</v>
      </c>
      <c r="T27" s="60">
        <f t="shared" si="39"/>
        <v>8124</v>
      </c>
      <c r="U27" s="60">
        <f t="shared" si="40"/>
        <v>8966</v>
      </c>
      <c r="V27" s="60">
        <f t="shared" si="30"/>
        <v>4915</v>
      </c>
      <c r="W27" s="60">
        <f t="shared" si="31"/>
        <v>5582</v>
      </c>
      <c r="X27" s="60">
        <f t="shared" si="32"/>
        <v>7372</v>
      </c>
      <c r="Y27" s="60">
        <f t="shared" si="33"/>
        <v>7671</v>
      </c>
      <c r="Z27" s="60">
        <f t="shared" si="34"/>
        <v>11773</v>
      </c>
      <c r="AA27" s="60">
        <f t="shared" si="35"/>
        <v>11773</v>
      </c>
      <c r="AB27" s="60">
        <f t="shared" si="36"/>
        <v>66176</v>
      </c>
      <c r="AD27" s="21">
        <f t="shared" si="12"/>
        <v>2335</v>
      </c>
      <c r="AE27" s="21">
        <f t="shared" si="13"/>
        <v>1774</v>
      </c>
      <c r="AF27" s="21">
        <f t="shared" si="14"/>
        <v>1099</v>
      </c>
      <c r="AG27" s="21">
        <f t="shared" si="15"/>
        <v>1456</v>
      </c>
      <c r="AH27" s="21">
        <f t="shared" si="16"/>
        <v>1648</v>
      </c>
      <c r="AI27" s="21">
        <f t="shared" si="17"/>
        <v>981</v>
      </c>
      <c r="AJ27" s="21">
        <f t="shared" si="18"/>
        <v>6678</v>
      </c>
      <c r="AK27" s="21">
        <f t="shared" si="19"/>
        <v>7030</v>
      </c>
      <c r="AL27" s="21">
        <f t="shared" si="37"/>
        <v>23001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f t="shared" si="38"/>
        <v>0</v>
      </c>
    </row>
    <row r="28" spans="1:48" customFormat="1" x14ac:dyDescent="0.35">
      <c r="A28" s="57">
        <v>2034</v>
      </c>
      <c r="B28" s="58">
        <f t="shared" si="20"/>
        <v>5931</v>
      </c>
      <c r="C28" s="21">
        <f t="shared" si="21"/>
        <v>6725</v>
      </c>
      <c r="D28" s="21">
        <f t="shared" si="22"/>
        <v>4227</v>
      </c>
      <c r="E28" s="21">
        <f t="shared" si="23"/>
        <v>4856</v>
      </c>
      <c r="F28" s="21">
        <f t="shared" si="24"/>
        <v>6119</v>
      </c>
      <c r="G28" s="21">
        <f t="shared" si="25"/>
        <v>7211</v>
      </c>
      <c r="H28" s="21">
        <f t="shared" si="26"/>
        <v>11067</v>
      </c>
      <c r="I28" s="21">
        <f t="shared" si="27"/>
        <v>11184</v>
      </c>
      <c r="J28" s="21">
        <f t="shared" si="28"/>
        <v>57320</v>
      </c>
      <c r="K28" s="59">
        <f t="shared" si="4"/>
        <v>9086</v>
      </c>
      <c r="L28" s="60">
        <f t="shared" si="5"/>
        <v>10169</v>
      </c>
      <c r="M28" s="60">
        <f t="shared" si="6"/>
        <v>5473</v>
      </c>
      <c r="N28" s="60">
        <f t="shared" si="7"/>
        <v>6332</v>
      </c>
      <c r="O28" s="60">
        <f t="shared" si="8"/>
        <v>8208</v>
      </c>
      <c r="P28" s="60">
        <f t="shared" si="9"/>
        <v>8142</v>
      </c>
      <c r="Q28" s="60">
        <f t="shared" si="29"/>
        <v>14015</v>
      </c>
      <c r="R28" s="60">
        <f t="shared" si="10"/>
        <v>14015</v>
      </c>
      <c r="S28" s="21">
        <f t="shared" si="11"/>
        <v>75440</v>
      </c>
      <c r="T28" s="60">
        <f>ROUND(((K28) - ((K28)*$R$3)),0)-AN28</f>
        <v>8127</v>
      </c>
      <c r="U28" s="60">
        <f t="shared" si="40"/>
        <v>8929</v>
      </c>
      <c r="V28" s="60">
        <f t="shared" si="30"/>
        <v>4895</v>
      </c>
      <c r="W28" s="60">
        <f t="shared" si="31"/>
        <v>5560</v>
      </c>
      <c r="X28" s="60">
        <f t="shared" si="32"/>
        <v>7341</v>
      </c>
      <c r="Y28" s="60">
        <f t="shared" si="33"/>
        <v>7638</v>
      </c>
      <c r="Z28" s="60">
        <f t="shared" si="34"/>
        <v>11726</v>
      </c>
      <c r="AA28" s="60">
        <f t="shared" si="35"/>
        <v>11726</v>
      </c>
      <c r="AB28" s="60">
        <f t="shared" si="36"/>
        <v>65942</v>
      </c>
      <c r="AD28" s="21">
        <f t="shared" si="12"/>
        <v>2334</v>
      </c>
      <c r="AE28" s="21">
        <f t="shared" si="13"/>
        <v>1767</v>
      </c>
      <c r="AF28" s="21">
        <f t="shared" si="14"/>
        <v>1095</v>
      </c>
      <c r="AG28" s="21">
        <f t="shared" si="15"/>
        <v>1450</v>
      </c>
      <c r="AH28" s="21">
        <f t="shared" si="16"/>
        <v>1642</v>
      </c>
      <c r="AI28" s="21">
        <f t="shared" si="17"/>
        <v>977</v>
      </c>
      <c r="AJ28" s="21">
        <f t="shared" si="18"/>
        <v>6651</v>
      </c>
      <c r="AK28" s="21">
        <f t="shared" si="19"/>
        <v>7001</v>
      </c>
      <c r="AL28" s="21">
        <f t="shared" si="37"/>
        <v>22917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f t="shared" si="38"/>
        <v>0</v>
      </c>
    </row>
    <row r="29" spans="1:48" customFormat="1" x14ac:dyDescent="0.35">
      <c r="A29" s="57">
        <v>2035</v>
      </c>
      <c r="B29" s="58">
        <f t="shared" si="20"/>
        <v>5933</v>
      </c>
      <c r="C29" s="21">
        <f t="shared" si="21"/>
        <v>6697</v>
      </c>
      <c r="D29" s="21">
        <f t="shared" si="22"/>
        <v>4210</v>
      </c>
      <c r="E29" s="21">
        <f t="shared" si="23"/>
        <v>4837</v>
      </c>
      <c r="F29" s="21">
        <f t="shared" si="24"/>
        <v>6093</v>
      </c>
      <c r="G29" s="21">
        <f t="shared" si="25"/>
        <v>7180</v>
      </c>
      <c r="H29" s="21">
        <f t="shared" si="26"/>
        <v>11022</v>
      </c>
      <c r="I29" s="21">
        <f t="shared" si="27"/>
        <v>11140</v>
      </c>
      <c r="J29" s="21">
        <f t="shared" si="28"/>
        <v>57112</v>
      </c>
      <c r="K29" s="59">
        <f t="shared" si="4"/>
        <v>9072</v>
      </c>
      <c r="L29" s="60">
        <f t="shared" si="5"/>
        <v>10128</v>
      </c>
      <c r="M29" s="60">
        <f t="shared" si="6"/>
        <v>5450</v>
      </c>
      <c r="N29" s="60">
        <f t="shared" si="7"/>
        <v>6305</v>
      </c>
      <c r="O29" s="60">
        <f t="shared" si="8"/>
        <v>8174</v>
      </c>
      <c r="P29" s="60">
        <f t="shared" si="9"/>
        <v>8110</v>
      </c>
      <c r="Q29" s="60">
        <f t="shared" si="29"/>
        <v>13957</v>
      </c>
      <c r="R29" s="60">
        <f t="shared" si="10"/>
        <v>13957</v>
      </c>
      <c r="S29" s="21">
        <f t="shared" si="11"/>
        <v>75153</v>
      </c>
      <c r="T29" s="60">
        <f t="shared" si="39"/>
        <v>8114</v>
      </c>
      <c r="U29" s="60">
        <f t="shared" si="40"/>
        <v>8893</v>
      </c>
      <c r="V29" s="60">
        <f t="shared" si="30"/>
        <v>4875</v>
      </c>
      <c r="W29" s="60">
        <f t="shared" si="31"/>
        <v>5536</v>
      </c>
      <c r="X29" s="60">
        <f t="shared" si="32"/>
        <v>7311</v>
      </c>
      <c r="Y29" s="60">
        <f t="shared" si="33"/>
        <v>7608</v>
      </c>
      <c r="Z29" s="60">
        <f t="shared" si="34"/>
        <v>11677</v>
      </c>
      <c r="AA29" s="60">
        <f t="shared" si="35"/>
        <v>11677</v>
      </c>
      <c r="AB29" s="60">
        <f t="shared" si="36"/>
        <v>65691</v>
      </c>
      <c r="AD29" s="21">
        <f t="shared" si="12"/>
        <v>2329</v>
      </c>
      <c r="AE29" s="21">
        <f t="shared" si="13"/>
        <v>1759</v>
      </c>
      <c r="AF29" s="21">
        <f t="shared" si="14"/>
        <v>1090</v>
      </c>
      <c r="AG29" s="21">
        <f t="shared" si="15"/>
        <v>1444</v>
      </c>
      <c r="AH29" s="21">
        <f t="shared" si="16"/>
        <v>1635</v>
      </c>
      <c r="AI29" s="21">
        <f t="shared" si="17"/>
        <v>973</v>
      </c>
      <c r="AJ29" s="21">
        <f t="shared" si="18"/>
        <v>6623</v>
      </c>
      <c r="AK29" s="21">
        <f t="shared" si="19"/>
        <v>6972</v>
      </c>
      <c r="AL29" s="21">
        <f t="shared" si="37"/>
        <v>22825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f t="shared" si="38"/>
        <v>0</v>
      </c>
    </row>
    <row r="30" spans="1:48" customFormat="1" ht="15" thickBot="1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48" customFormat="1" ht="15" thickBot="1" x14ac:dyDescent="0.4">
      <c r="A31" s="50" t="s">
        <v>89</v>
      </c>
      <c r="B31" s="51"/>
      <c r="C31" s="51"/>
      <c r="D31" s="51"/>
      <c r="E31" s="51"/>
      <c r="F31" s="51"/>
      <c r="G31" s="51"/>
      <c r="H31" s="51"/>
      <c r="I31" s="51"/>
      <c r="J31" s="52"/>
      <c r="K31" s="3"/>
      <c r="L31" s="44" t="s">
        <v>90</v>
      </c>
      <c r="M31" s="45"/>
      <c r="N31" s="45"/>
      <c r="O31" s="45"/>
      <c r="P31" s="46"/>
    </row>
    <row r="32" spans="1:48" customFormat="1" x14ac:dyDescent="0.35">
      <c r="A32" s="14"/>
      <c r="B32" s="14" t="s">
        <v>91</v>
      </c>
      <c r="C32" s="14" t="s">
        <v>92</v>
      </c>
      <c r="D32" s="14" t="s">
        <v>93</v>
      </c>
      <c r="E32" s="14" t="s">
        <v>94</v>
      </c>
      <c r="F32" s="14" t="s">
        <v>95</v>
      </c>
      <c r="G32" s="14" t="s">
        <v>96</v>
      </c>
      <c r="H32" s="14" t="s">
        <v>97</v>
      </c>
      <c r="I32" s="14" t="s">
        <v>98</v>
      </c>
      <c r="J32" s="14" t="s">
        <v>99</v>
      </c>
      <c r="K32" s="3"/>
      <c r="L32" s="14"/>
      <c r="M32" s="14" t="s">
        <v>100</v>
      </c>
      <c r="N32" s="14" t="s">
        <v>101</v>
      </c>
      <c r="O32" s="14" t="s">
        <v>102</v>
      </c>
      <c r="P32" s="14" t="s">
        <v>103</v>
      </c>
    </row>
    <row r="33" spans="1:16" customFormat="1" x14ac:dyDescent="0.35">
      <c r="A33" s="61">
        <v>2026</v>
      </c>
      <c r="B33" s="21">
        <f t="shared" ref="B33:B41" si="41">SUM(C33:J33)</f>
        <v>9179</v>
      </c>
      <c r="C33" s="21">
        <f>T20-B21</f>
        <v>2455</v>
      </c>
      <c r="D33" s="21">
        <f t="shared" ref="D33:J41" si="42">U20-C21</f>
        <v>2980</v>
      </c>
      <c r="E33" s="21">
        <f t="shared" si="42"/>
        <v>570</v>
      </c>
      <c r="F33" s="21">
        <f t="shared" si="42"/>
        <v>616</v>
      </c>
      <c r="G33" s="21">
        <f t="shared" si="42"/>
        <v>741</v>
      </c>
      <c r="H33" s="21">
        <f t="shared" si="42"/>
        <v>361</v>
      </c>
      <c r="I33" s="21">
        <f t="shared" si="42"/>
        <v>794</v>
      </c>
      <c r="J33" s="21">
        <f t="shared" si="42"/>
        <v>662</v>
      </c>
      <c r="K33" s="3"/>
      <c r="L33" s="61">
        <v>2026</v>
      </c>
      <c r="M33" s="21">
        <f t="shared" ref="M33:M42" si="43">AA20+Z20</f>
        <v>26474</v>
      </c>
      <c r="N33" s="21">
        <f t="shared" ref="N33:N42" si="44">Y20+X20</f>
        <v>10367</v>
      </c>
      <c r="O33" s="21">
        <f t="shared" ref="O33:O42" si="45">W20+V20</f>
        <v>8812</v>
      </c>
      <c r="P33" s="21">
        <f t="shared" ref="P33:P42" si="46">U20+T20</f>
        <v>21015</v>
      </c>
    </row>
    <row r="34" spans="1:16" customFormat="1" x14ac:dyDescent="0.35">
      <c r="A34" s="61">
        <v>2027</v>
      </c>
      <c r="B34" s="21">
        <f t="shared" si="41"/>
        <v>8892</v>
      </c>
      <c r="C34" s="21">
        <f t="shared" ref="C34:C41" si="47">T21-B22</f>
        <v>2190</v>
      </c>
      <c r="D34" s="21">
        <f t="shared" si="42"/>
        <v>2519</v>
      </c>
      <c r="E34" s="21">
        <f t="shared" si="42"/>
        <v>405</v>
      </c>
      <c r="F34" s="21">
        <f t="shared" si="42"/>
        <v>566</v>
      </c>
      <c r="G34" s="21">
        <f t="shared" si="42"/>
        <v>1403</v>
      </c>
      <c r="H34" s="21">
        <f t="shared" si="42"/>
        <v>515</v>
      </c>
      <c r="I34" s="21">
        <f t="shared" si="42"/>
        <v>706</v>
      </c>
      <c r="J34" s="21">
        <f t="shared" si="42"/>
        <v>588</v>
      </c>
      <c r="K34" s="3"/>
      <c r="L34" s="61">
        <v>2027</v>
      </c>
      <c r="M34" s="21">
        <f t="shared" si="43"/>
        <v>23530</v>
      </c>
      <c r="N34" s="21">
        <f t="shared" si="44"/>
        <v>16842</v>
      </c>
      <c r="O34" s="21">
        <f t="shared" si="45"/>
        <v>7247</v>
      </c>
      <c r="P34" s="21">
        <f t="shared" si="46"/>
        <v>18187</v>
      </c>
    </row>
    <row r="35" spans="1:16" customFormat="1" x14ac:dyDescent="0.35">
      <c r="A35" s="61">
        <v>2028</v>
      </c>
      <c r="B35" s="21">
        <f t="shared" si="41"/>
        <v>8615</v>
      </c>
      <c r="C35" s="21">
        <f t="shared" si="47"/>
        <v>1817</v>
      </c>
      <c r="D35" s="21">
        <f t="shared" si="42"/>
        <v>2186</v>
      </c>
      <c r="E35" s="21">
        <f t="shared" si="42"/>
        <v>767</v>
      </c>
      <c r="F35" s="21">
        <f t="shared" si="42"/>
        <v>809</v>
      </c>
      <c r="G35" s="21">
        <f t="shared" si="42"/>
        <v>1247</v>
      </c>
      <c r="H35" s="21">
        <f t="shared" si="42"/>
        <v>458</v>
      </c>
      <c r="I35" s="21">
        <f t="shared" si="42"/>
        <v>726</v>
      </c>
      <c r="J35" s="21">
        <f t="shared" si="42"/>
        <v>605</v>
      </c>
      <c r="K35" s="3"/>
      <c r="L35" s="61">
        <v>2028</v>
      </c>
      <c r="M35" s="21">
        <f t="shared" si="43"/>
        <v>24186</v>
      </c>
      <c r="N35" s="21">
        <f t="shared" si="44"/>
        <v>14969</v>
      </c>
      <c r="O35" s="21">
        <f t="shared" si="45"/>
        <v>11706</v>
      </c>
      <c r="P35" s="21">
        <f t="shared" si="46"/>
        <v>15474</v>
      </c>
    </row>
    <row r="36" spans="1:16" customFormat="1" x14ac:dyDescent="0.35">
      <c r="A36" s="61">
        <v>2029</v>
      </c>
      <c r="B36" s="21">
        <f t="shared" si="41"/>
        <v>8856</v>
      </c>
      <c r="C36" s="21">
        <f t="shared" si="47"/>
        <v>2079</v>
      </c>
      <c r="D36" s="21">
        <f t="shared" si="42"/>
        <v>2308</v>
      </c>
      <c r="E36" s="21">
        <f t="shared" si="42"/>
        <v>682</v>
      </c>
      <c r="F36" s="21">
        <f t="shared" si="42"/>
        <v>719</v>
      </c>
      <c r="G36" s="21">
        <f t="shared" si="42"/>
        <v>1282</v>
      </c>
      <c r="H36" s="21">
        <f t="shared" si="42"/>
        <v>471</v>
      </c>
      <c r="I36" s="21">
        <f t="shared" si="42"/>
        <v>717</v>
      </c>
      <c r="J36" s="21">
        <f t="shared" si="42"/>
        <v>598</v>
      </c>
      <c r="K36" s="3"/>
      <c r="L36" s="61">
        <v>2029</v>
      </c>
      <c r="M36" s="21">
        <f t="shared" si="43"/>
        <v>23910</v>
      </c>
      <c r="N36" s="21">
        <f t="shared" si="44"/>
        <v>15385</v>
      </c>
      <c r="O36" s="21">
        <f t="shared" si="45"/>
        <v>10403</v>
      </c>
      <c r="P36" s="21">
        <f t="shared" si="46"/>
        <v>16934</v>
      </c>
    </row>
    <row r="37" spans="1:16" customFormat="1" x14ac:dyDescent="0.35">
      <c r="A37" s="61">
        <v>2030</v>
      </c>
      <c r="B37" s="21">
        <f t="shared" si="41"/>
        <v>8865</v>
      </c>
      <c r="C37" s="21">
        <f t="shared" si="47"/>
        <v>2119</v>
      </c>
      <c r="D37" s="21">
        <f t="shared" si="42"/>
        <v>2263</v>
      </c>
      <c r="E37" s="21">
        <f t="shared" si="42"/>
        <v>701</v>
      </c>
      <c r="F37" s="21">
        <f t="shared" si="42"/>
        <v>739</v>
      </c>
      <c r="G37" s="21">
        <f t="shared" si="42"/>
        <v>1267</v>
      </c>
      <c r="H37" s="21">
        <f t="shared" si="42"/>
        <v>465</v>
      </c>
      <c r="I37" s="21">
        <f t="shared" si="42"/>
        <v>715</v>
      </c>
      <c r="J37" s="21">
        <f t="shared" si="42"/>
        <v>596</v>
      </c>
      <c r="K37" s="3"/>
      <c r="L37" s="61">
        <v>2030</v>
      </c>
      <c r="M37" s="21">
        <f t="shared" si="43"/>
        <v>23850</v>
      </c>
      <c r="N37" s="21">
        <f t="shared" si="44"/>
        <v>15210</v>
      </c>
      <c r="O37" s="21">
        <f t="shared" si="45"/>
        <v>10691</v>
      </c>
      <c r="P37" s="21">
        <f t="shared" si="46"/>
        <v>16899</v>
      </c>
    </row>
    <row r="38" spans="1:16" customFormat="1" x14ac:dyDescent="0.35">
      <c r="A38" s="61">
        <v>2031</v>
      </c>
      <c r="B38" s="21">
        <f t="shared" si="41"/>
        <v>8887</v>
      </c>
      <c r="C38" s="21">
        <f t="shared" si="47"/>
        <v>2167</v>
      </c>
      <c r="D38" s="21">
        <f t="shared" si="42"/>
        <v>2262</v>
      </c>
      <c r="E38" s="21">
        <f t="shared" si="42"/>
        <v>693</v>
      </c>
      <c r="F38" s="21">
        <f t="shared" si="42"/>
        <v>731</v>
      </c>
      <c r="G38" s="21">
        <f t="shared" si="42"/>
        <v>1264</v>
      </c>
      <c r="H38" s="21">
        <f t="shared" si="42"/>
        <v>464</v>
      </c>
      <c r="I38" s="21">
        <f t="shared" si="42"/>
        <v>712</v>
      </c>
      <c r="J38" s="21">
        <f t="shared" si="42"/>
        <v>594</v>
      </c>
      <c r="K38" s="3"/>
      <c r="L38" s="61">
        <v>2031</v>
      </c>
      <c r="M38" s="21">
        <f t="shared" si="43"/>
        <v>23742</v>
      </c>
      <c r="N38" s="21">
        <f t="shared" si="44"/>
        <v>15173</v>
      </c>
      <c r="O38" s="21">
        <f t="shared" si="45"/>
        <v>10571</v>
      </c>
      <c r="P38" s="21">
        <f t="shared" si="46"/>
        <v>17074</v>
      </c>
    </row>
    <row r="39" spans="1:16" customFormat="1" x14ac:dyDescent="0.35">
      <c r="A39" s="61">
        <v>2032</v>
      </c>
      <c r="B39" s="21">
        <f t="shared" si="41"/>
        <v>8875</v>
      </c>
      <c r="C39" s="21">
        <f t="shared" si="47"/>
        <v>2185</v>
      </c>
      <c r="D39" s="21">
        <f t="shared" si="42"/>
        <v>2250</v>
      </c>
      <c r="E39" s="21">
        <f t="shared" si="42"/>
        <v>691</v>
      </c>
      <c r="F39" s="21">
        <f t="shared" si="42"/>
        <v>729</v>
      </c>
      <c r="G39" s="21">
        <f t="shared" si="42"/>
        <v>1258</v>
      </c>
      <c r="H39" s="21">
        <f t="shared" si="42"/>
        <v>462</v>
      </c>
      <c r="I39" s="21">
        <f t="shared" si="42"/>
        <v>709</v>
      </c>
      <c r="J39" s="21">
        <f t="shared" si="42"/>
        <v>591</v>
      </c>
      <c r="K39" s="3"/>
      <c r="L39" s="61">
        <v>2032</v>
      </c>
      <c r="M39" s="21">
        <f t="shared" si="43"/>
        <v>23646</v>
      </c>
      <c r="N39" s="21">
        <f t="shared" si="44"/>
        <v>15104</v>
      </c>
      <c r="O39" s="21">
        <f t="shared" si="45"/>
        <v>10544</v>
      </c>
      <c r="P39" s="21">
        <f t="shared" si="46"/>
        <v>17095</v>
      </c>
    </row>
    <row r="40" spans="1:16" customFormat="1" x14ac:dyDescent="0.35">
      <c r="A40" s="61">
        <v>2033</v>
      </c>
      <c r="B40" s="21">
        <f t="shared" si="41"/>
        <v>8856</v>
      </c>
      <c r="C40" s="21">
        <f t="shared" si="47"/>
        <v>2193</v>
      </c>
      <c r="D40" s="21">
        <f t="shared" si="42"/>
        <v>2241</v>
      </c>
      <c r="E40" s="21">
        <f t="shared" si="42"/>
        <v>688</v>
      </c>
      <c r="F40" s="21">
        <f t="shared" si="42"/>
        <v>726</v>
      </c>
      <c r="G40" s="21">
        <f t="shared" si="42"/>
        <v>1253</v>
      </c>
      <c r="H40" s="21">
        <f t="shared" si="42"/>
        <v>460</v>
      </c>
      <c r="I40" s="21">
        <f t="shared" si="42"/>
        <v>706</v>
      </c>
      <c r="J40" s="21">
        <f t="shared" si="42"/>
        <v>589</v>
      </c>
      <c r="K40" s="3"/>
      <c r="L40" s="61">
        <v>2033</v>
      </c>
      <c r="M40" s="21">
        <f t="shared" si="43"/>
        <v>23546</v>
      </c>
      <c r="N40" s="21">
        <f t="shared" si="44"/>
        <v>15043</v>
      </c>
      <c r="O40" s="21">
        <f t="shared" si="45"/>
        <v>10497</v>
      </c>
      <c r="P40" s="21">
        <f t="shared" si="46"/>
        <v>17090</v>
      </c>
    </row>
    <row r="41" spans="1:16" customFormat="1" x14ac:dyDescent="0.35">
      <c r="A41" s="61">
        <v>2034</v>
      </c>
      <c r="B41" s="21">
        <f t="shared" si="41"/>
        <v>8830</v>
      </c>
      <c r="C41" s="21">
        <f t="shared" si="47"/>
        <v>2194</v>
      </c>
      <c r="D41" s="21">
        <f t="shared" si="42"/>
        <v>2232</v>
      </c>
      <c r="E41" s="21">
        <f t="shared" si="42"/>
        <v>685</v>
      </c>
      <c r="F41" s="21">
        <f t="shared" si="42"/>
        <v>723</v>
      </c>
      <c r="G41" s="21">
        <f t="shared" si="42"/>
        <v>1248</v>
      </c>
      <c r="H41" s="21">
        <f t="shared" si="42"/>
        <v>458</v>
      </c>
      <c r="I41" s="21">
        <f t="shared" si="42"/>
        <v>704</v>
      </c>
      <c r="J41" s="21">
        <f t="shared" si="42"/>
        <v>586</v>
      </c>
      <c r="L41" s="61">
        <v>2034</v>
      </c>
      <c r="M41" s="21">
        <f t="shared" si="43"/>
        <v>23452</v>
      </c>
      <c r="N41" s="21">
        <f t="shared" si="44"/>
        <v>14979</v>
      </c>
      <c r="O41" s="21">
        <f t="shared" si="45"/>
        <v>10455</v>
      </c>
      <c r="P41" s="21">
        <f t="shared" si="46"/>
        <v>17056</v>
      </c>
    </row>
    <row r="42" spans="1:16" customFormat="1" x14ac:dyDescent="0.35">
      <c r="A42" s="61">
        <v>2035</v>
      </c>
      <c r="B42" s="21" t="s">
        <v>104</v>
      </c>
      <c r="C42" s="21" t="s">
        <v>104</v>
      </c>
      <c r="D42" s="21" t="s">
        <v>104</v>
      </c>
      <c r="E42" s="21" t="s">
        <v>104</v>
      </c>
      <c r="F42" s="21" t="s">
        <v>104</v>
      </c>
      <c r="G42" s="21" t="s">
        <v>104</v>
      </c>
      <c r="H42" s="21" t="s">
        <v>104</v>
      </c>
      <c r="I42" s="21" t="s">
        <v>104</v>
      </c>
      <c r="J42" s="21" t="s">
        <v>104</v>
      </c>
      <c r="L42" s="61">
        <v>2035</v>
      </c>
      <c r="M42" s="21">
        <f t="shared" si="43"/>
        <v>23354</v>
      </c>
      <c r="N42" s="21">
        <f t="shared" si="44"/>
        <v>14919</v>
      </c>
      <c r="O42" s="21">
        <f t="shared" si="45"/>
        <v>10411</v>
      </c>
      <c r="P42" s="21">
        <f t="shared" si="46"/>
        <v>17007</v>
      </c>
    </row>
    <row r="43" spans="1:16" customFormat="1" x14ac:dyDescent="0.35">
      <c r="F43" s="3"/>
      <c r="G43" s="3"/>
      <c r="H43" s="3"/>
      <c r="I43" s="3"/>
      <c r="J43" s="3"/>
    </row>
    <row r="44" spans="1:16" customFormat="1" x14ac:dyDescent="0.35">
      <c r="A44" s="62" t="s">
        <v>105</v>
      </c>
      <c r="B44" s="62"/>
      <c r="C44" s="62"/>
      <c r="D44" s="3"/>
      <c r="E44" s="3"/>
      <c r="F44" s="3"/>
      <c r="G44" s="3"/>
      <c r="H44" s="3"/>
      <c r="I44" s="3"/>
      <c r="J44" s="3"/>
    </row>
    <row r="45" spans="1:16" customFormat="1" x14ac:dyDescent="0.35">
      <c r="A45" s="63"/>
      <c r="B45" s="14" t="s">
        <v>106</v>
      </c>
      <c r="C45" s="14" t="s">
        <v>107</v>
      </c>
      <c r="D45" s="3"/>
      <c r="E45" s="3"/>
      <c r="F45" s="3"/>
      <c r="G45" s="3"/>
      <c r="H45" s="3"/>
      <c r="I45" s="3"/>
      <c r="J45" s="3"/>
    </row>
    <row r="46" spans="1:16" customFormat="1" x14ac:dyDescent="0.35">
      <c r="A46" s="14" t="s">
        <v>108</v>
      </c>
      <c r="B46" s="21">
        <f>AVERAGE(C33:C41)</f>
        <v>2155.4444444444443</v>
      </c>
      <c r="C46" s="21">
        <f>AVERAGE(D33:D41)</f>
        <v>2360.1111111111113</v>
      </c>
      <c r="D46" s="3"/>
      <c r="E46" s="3"/>
      <c r="F46" s="3"/>
      <c r="G46" s="3"/>
      <c r="H46" s="3"/>
      <c r="I46" s="3"/>
      <c r="J46" s="3"/>
    </row>
    <row r="47" spans="1:16" customFormat="1" x14ac:dyDescent="0.35">
      <c r="A47" s="14" t="s">
        <v>109</v>
      </c>
      <c r="B47" s="21">
        <f>AVERAGE(E33:E41)</f>
        <v>653.55555555555554</v>
      </c>
      <c r="C47" s="21">
        <f>AVERAGE(F33:F41)</f>
        <v>706.44444444444446</v>
      </c>
      <c r="D47" s="3"/>
      <c r="E47" s="3"/>
      <c r="F47" s="3"/>
      <c r="G47" s="3"/>
      <c r="H47" s="3"/>
      <c r="I47" s="3"/>
      <c r="J47" s="3"/>
    </row>
    <row r="48" spans="1:16" customFormat="1" x14ac:dyDescent="0.35">
      <c r="A48" s="14" t="s">
        <v>110</v>
      </c>
      <c r="B48" s="21">
        <f>AVERAGE(G33:G41)</f>
        <v>1218.1111111111111</v>
      </c>
      <c r="C48" s="21">
        <f>AVERAGE(H33:H41)</f>
        <v>457.11111111111109</v>
      </c>
      <c r="D48" s="3"/>
      <c r="E48" s="3"/>
      <c r="F48" s="3"/>
      <c r="G48" s="3"/>
      <c r="H48" s="3"/>
      <c r="I48" s="3"/>
      <c r="J48" s="3"/>
    </row>
    <row r="49" spans="1:28" customFormat="1" x14ac:dyDescent="0.35">
      <c r="A49" s="14" t="s">
        <v>111</v>
      </c>
      <c r="B49" s="21">
        <f>AVERAGE(I33:I41)</f>
        <v>721</v>
      </c>
      <c r="C49" s="21">
        <f>AVERAGE(J33:J41)</f>
        <v>601</v>
      </c>
      <c r="D49" s="3"/>
      <c r="E49" s="3"/>
      <c r="F49" s="3"/>
      <c r="G49" s="3"/>
      <c r="H49" s="3"/>
      <c r="I49" s="3"/>
      <c r="J49" s="3"/>
    </row>
    <row r="50" spans="1:28" customFormat="1" x14ac:dyDescent="0.35">
      <c r="B50" s="3"/>
      <c r="C50" s="3"/>
      <c r="D50" s="3"/>
      <c r="E50" s="3"/>
      <c r="F50" s="3"/>
      <c r="G50" s="3"/>
      <c r="H50" s="3"/>
      <c r="I50" s="3"/>
      <c r="J50" s="3"/>
      <c r="T50" s="3"/>
      <c r="U50" s="3"/>
      <c r="V50" s="3"/>
      <c r="W50" s="3"/>
      <c r="X50" s="3"/>
      <c r="Y50" s="3"/>
      <c r="Z50" s="3"/>
      <c r="AA50" s="3"/>
      <c r="AB50" s="3"/>
    </row>
    <row r="51" spans="1:28" customFormat="1" x14ac:dyDescent="0.35">
      <c r="B51" s="3"/>
      <c r="C51" s="3"/>
      <c r="D51" s="3"/>
      <c r="E51" s="3"/>
      <c r="F51" s="3"/>
      <c r="G51" s="3"/>
      <c r="H51" s="3"/>
      <c r="I51" s="3"/>
      <c r="J51" s="3"/>
      <c r="T51" s="3"/>
      <c r="U51" s="3"/>
      <c r="V51" s="3"/>
      <c r="W51" s="3"/>
      <c r="X51" s="3"/>
      <c r="Y51" s="3"/>
      <c r="Z51" s="3"/>
      <c r="AA51" s="3"/>
      <c r="AB51" s="3"/>
    </row>
    <row r="52" spans="1:28" customFormat="1" x14ac:dyDescent="0.35">
      <c r="B52" s="3"/>
      <c r="C52" s="3"/>
      <c r="D52" s="3"/>
      <c r="E52" s="3"/>
      <c r="F52" s="3"/>
      <c r="G52" s="3"/>
      <c r="H52" s="3"/>
      <c r="I52" s="3"/>
      <c r="J52" s="3"/>
      <c r="T52" s="3"/>
      <c r="U52" s="3"/>
      <c r="V52" s="3"/>
      <c r="W52" s="3"/>
      <c r="X52" s="3"/>
      <c r="Y52" s="3"/>
      <c r="Z52" s="3"/>
      <c r="AA52" s="3"/>
      <c r="AB52" s="3"/>
    </row>
    <row r="53" spans="1:28" customFormat="1" x14ac:dyDescent="0.35">
      <c r="B53" s="3"/>
      <c r="C53" s="3"/>
      <c r="D53" s="3"/>
      <c r="E53" s="3"/>
      <c r="F53" s="3"/>
      <c r="G53" s="3"/>
      <c r="H53" s="3"/>
      <c r="I53" s="3"/>
      <c r="J53" s="3"/>
      <c r="T53" s="3"/>
      <c r="U53" s="3"/>
      <c r="V53" s="3"/>
      <c r="W53" s="3"/>
      <c r="X53" s="3"/>
      <c r="Y53" s="3"/>
      <c r="Z53" s="3"/>
      <c r="AA53" s="3"/>
      <c r="AB53" s="3"/>
    </row>
    <row r="54" spans="1:28" customFormat="1" x14ac:dyDescent="0.35">
      <c r="B54" s="3"/>
      <c r="C54" s="3"/>
      <c r="D54" s="3"/>
      <c r="E54" s="3"/>
      <c r="F54" s="3"/>
      <c r="G54" s="3"/>
      <c r="H54" s="3"/>
      <c r="I54" s="3"/>
      <c r="J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/>
    </row>
  </sheetData>
  <mergeCells count="16">
    <mergeCell ref="A31:J31"/>
    <mergeCell ref="L31:P31"/>
    <mergeCell ref="A44:C44"/>
    <mergeCell ref="AN18:AV18"/>
    <mergeCell ref="X1:Z1"/>
    <mergeCell ref="D4:E4"/>
    <mergeCell ref="B18:J18"/>
    <mergeCell ref="K18:S18"/>
    <mergeCell ref="T18:AB18"/>
    <mergeCell ref="AD18:AL18"/>
    <mergeCell ref="A1:B1"/>
    <mergeCell ref="D1:E1"/>
    <mergeCell ref="G1:H1"/>
    <mergeCell ref="J1:M1"/>
    <mergeCell ref="O1:R1"/>
    <mergeCell ref="T1:V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A39D5-ABBA-4E17-8A90-4AC937A48C92}">
  <dimension ref="A1:AV55"/>
  <sheetViews>
    <sheetView zoomScale="60" zoomScaleNormal="100" workbookViewId="0">
      <selection activeCell="V11" sqref="V11"/>
    </sheetView>
  </sheetViews>
  <sheetFormatPr defaultColWidth="8.7265625" defaultRowHeight="14.5" x14ac:dyDescent="0.35"/>
  <cols>
    <col min="1" max="1" width="12.1796875" style="3" customWidth="1"/>
    <col min="2" max="2" width="18.26953125" style="3" customWidth="1"/>
    <col min="3" max="3" width="10.453125" style="3" customWidth="1"/>
    <col min="4" max="4" width="17.26953125" style="3" customWidth="1"/>
    <col min="5" max="5" width="14.54296875" style="3" customWidth="1"/>
    <col min="6" max="6" width="10.453125" style="3" customWidth="1"/>
    <col min="7" max="7" width="17.81640625" style="3" customWidth="1"/>
    <col min="8" max="8" width="8.7265625" style="3"/>
    <col min="9" max="9" width="16.7265625" style="3" customWidth="1"/>
    <col min="10" max="10" width="15.81640625" style="3" customWidth="1"/>
    <col min="11" max="11" width="14.54296875" style="3" customWidth="1"/>
    <col min="12" max="12" width="8.7265625" style="3"/>
    <col min="13" max="13" width="11.453125" style="3" customWidth="1"/>
    <col min="14" max="14" width="8.7265625" style="3"/>
    <col min="15" max="15" width="15" style="3" customWidth="1"/>
    <col min="16" max="16" width="8.7265625" style="3"/>
    <col min="17" max="17" width="12.54296875" style="3" customWidth="1"/>
    <col min="18" max="18" width="9.453125" style="3" customWidth="1"/>
    <col min="19" max="19" width="11.7265625" style="3" customWidth="1"/>
    <col min="20" max="20" width="15" style="3" customWidth="1"/>
    <col min="21" max="21" width="10.1796875" style="3" customWidth="1"/>
    <col min="22" max="22" width="12" style="3" customWidth="1"/>
    <col min="23" max="27" width="8.7265625" style="3"/>
    <col min="28" max="28" width="12.1796875" style="3" customWidth="1"/>
    <col min="29" max="16384" width="8.7265625" style="3"/>
  </cols>
  <sheetData>
    <row r="1" spans="1:26" x14ac:dyDescent="0.35">
      <c r="A1" s="1" t="s">
        <v>0</v>
      </c>
      <c r="B1" s="2"/>
      <c r="D1" s="4" t="s">
        <v>1</v>
      </c>
      <c r="E1" s="5"/>
      <c r="G1" s="1" t="s">
        <v>2</v>
      </c>
      <c r="H1" s="2"/>
      <c r="J1" s="1" t="s">
        <v>3</v>
      </c>
      <c r="K1" s="6"/>
      <c r="L1" s="6"/>
      <c r="M1" s="2"/>
      <c r="O1" s="1" t="s">
        <v>4</v>
      </c>
      <c r="P1" s="6"/>
      <c r="Q1" s="6"/>
      <c r="R1" s="2"/>
      <c r="T1" s="7" t="s">
        <v>5</v>
      </c>
      <c r="U1" s="8"/>
      <c r="V1" s="8"/>
      <c r="X1" s="1" t="s">
        <v>6</v>
      </c>
      <c r="Y1" s="6"/>
      <c r="Z1" s="2"/>
    </row>
    <row r="2" spans="1:26" x14ac:dyDescent="0.35">
      <c r="A2" s="9" t="s">
        <v>7</v>
      </c>
      <c r="B2" s="10" t="s">
        <v>8</v>
      </c>
      <c r="D2" s="11" t="s">
        <v>9</v>
      </c>
      <c r="E2" s="12">
        <v>65000</v>
      </c>
      <c r="G2" s="9" t="s">
        <v>10</v>
      </c>
      <c r="H2" s="10">
        <v>4495</v>
      </c>
      <c r="J2" s="13"/>
      <c r="K2" s="14" t="s">
        <v>11</v>
      </c>
      <c r="L2" s="14" t="s">
        <v>12</v>
      </c>
      <c r="M2" s="15" t="s">
        <v>13</v>
      </c>
      <c r="O2" s="13"/>
      <c r="P2" s="14" t="s">
        <v>14</v>
      </c>
      <c r="Q2" s="14" t="s">
        <v>15</v>
      </c>
      <c r="R2" s="15" t="s">
        <v>16</v>
      </c>
      <c r="T2" s="16"/>
      <c r="U2" s="17" t="s">
        <v>17</v>
      </c>
      <c r="V2" s="18" t="s">
        <v>18</v>
      </c>
      <c r="X2" s="9"/>
      <c r="Y2" s="14" t="s">
        <v>9</v>
      </c>
      <c r="Z2" s="15" t="s">
        <v>19</v>
      </c>
    </row>
    <row r="3" spans="1:26" x14ac:dyDescent="0.35">
      <c r="A3" s="9" t="s">
        <v>20</v>
      </c>
      <c r="B3" s="10">
        <v>2025</v>
      </c>
      <c r="D3" s="19"/>
      <c r="E3" s="20"/>
      <c r="G3" s="9" t="s">
        <v>21</v>
      </c>
      <c r="H3" s="10">
        <v>6968</v>
      </c>
      <c r="I3" s="3">
        <f>SUM(H2:H3)</f>
        <v>11463</v>
      </c>
      <c r="J3" s="9" t="s">
        <v>22</v>
      </c>
      <c r="K3" s="21">
        <f>ROUND(($E$2*E9),0)</f>
        <v>33150</v>
      </c>
      <c r="L3" s="21">
        <f>ROUND(K3*($E$7),0)</f>
        <v>14255</v>
      </c>
      <c r="M3" s="22">
        <f>ROUND((K3*$E$6),0)</f>
        <v>18896</v>
      </c>
      <c r="O3" s="9" t="s">
        <v>23</v>
      </c>
      <c r="P3" s="23">
        <v>0.2</v>
      </c>
      <c r="Q3" s="21">
        <f>LN(1-P3)</f>
        <v>-0.22314355131420971</v>
      </c>
      <c r="R3" s="22">
        <f>1-EXP(Q3*0.5)</f>
        <v>0.10557280900008414</v>
      </c>
      <c r="T3" s="9" t="s">
        <v>24</v>
      </c>
      <c r="U3" s="24">
        <f>H2-(U5+U7)</f>
        <v>3840.5280000000002</v>
      </c>
      <c r="V3" s="25">
        <f>ROUND((U3/L3),2)</f>
        <v>0.27</v>
      </c>
      <c r="X3" s="13">
        <v>2026</v>
      </c>
      <c r="Y3" s="21">
        <f t="shared" ref="Y3:Y12" si="0">AB20</f>
        <v>60284</v>
      </c>
      <c r="Z3" s="22" t="s">
        <v>25</v>
      </c>
    </row>
    <row r="4" spans="1:26" x14ac:dyDescent="0.35">
      <c r="A4" s="13"/>
      <c r="B4" s="26"/>
      <c r="D4" s="27" t="s">
        <v>26</v>
      </c>
      <c r="E4" s="28"/>
      <c r="G4" s="13"/>
      <c r="H4" s="26"/>
      <c r="J4" s="9" t="s">
        <v>27</v>
      </c>
      <c r="K4" s="21">
        <f>ROUND(($E$2*E10),0)</f>
        <v>2600</v>
      </c>
      <c r="L4" s="21">
        <f>ROUND(K4*($E$7),0)</f>
        <v>1118</v>
      </c>
      <c r="M4" s="22">
        <f>ROUND((K4*$E$6),0)</f>
        <v>1482</v>
      </c>
      <c r="O4" s="9" t="s">
        <v>28</v>
      </c>
      <c r="P4" s="23">
        <v>0.22900000000000001</v>
      </c>
      <c r="Q4" s="21">
        <f t="shared" ref="Q4:Q9" si="1">LN(1-P4)</f>
        <v>-0.26006690541880756</v>
      </c>
      <c r="R4" s="22">
        <f t="shared" ref="R4:R8" si="2">1-EXP(Q4*0.5)</f>
        <v>0.12193394325939233</v>
      </c>
      <c r="T4" s="9" t="s">
        <v>29</v>
      </c>
      <c r="U4" s="24">
        <f>H3-(SUM(U6,U8:U10))</f>
        <v>4682.4960000000001</v>
      </c>
      <c r="V4" s="22">
        <v>0.375</v>
      </c>
      <c r="X4" s="13">
        <v>2027</v>
      </c>
      <c r="Y4" s="21">
        <f t="shared" si="0"/>
        <v>55347</v>
      </c>
      <c r="Z4" s="22">
        <f>ROUND((Y4/Y3),2)</f>
        <v>0.92</v>
      </c>
    </row>
    <row r="5" spans="1:26" ht="16.5" x14ac:dyDescent="0.35">
      <c r="A5" s="9" t="s">
        <v>30</v>
      </c>
      <c r="B5" s="10">
        <v>1589.9</v>
      </c>
      <c r="C5" s="3" t="s">
        <v>31</v>
      </c>
      <c r="D5" s="29">
        <v>130</v>
      </c>
      <c r="E5" s="30">
        <v>100</v>
      </c>
      <c r="G5" s="9" t="s">
        <v>32</v>
      </c>
      <c r="H5" s="10">
        <v>0.11</v>
      </c>
      <c r="J5" s="9" t="s">
        <v>33</v>
      </c>
      <c r="K5" s="21">
        <f>ROUND(($E$2*E11),0)</f>
        <v>13000</v>
      </c>
      <c r="L5" s="21">
        <f>ROUND(K5*($E$7),0)</f>
        <v>5590</v>
      </c>
      <c r="M5" s="22">
        <f>ROUND((K5*$E$6),0)</f>
        <v>7410</v>
      </c>
      <c r="O5" s="9" t="s">
        <v>34</v>
      </c>
      <c r="P5" s="23">
        <v>0.2</v>
      </c>
      <c r="Q5" s="21">
        <f t="shared" si="1"/>
        <v>-0.22314355131420971</v>
      </c>
      <c r="R5" s="22">
        <f t="shared" si="2"/>
        <v>0.10557280900008414</v>
      </c>
      <c r="T5" s="9" t="s">
        <v>35</v>
      </c>
      <c r="U5" s="24">
        <f>(H2-U7)*0.04</f>
        <v>160.02200000000002</v>
      </c>
      <c r="V5" s="22">
        <f>ROUND((U5/L4),2)</f>
        <v>0.14000000000000001</v>
      </c>
      <c r="X5" s="13">
        <v>2028</v>
      </c>
      <c r="Y5" s="21">
        <f t="shared" si="0"/>
        <v>51884</v>
      </c>
      <c r="Z5" s="22">
        <f t="shared" ref="Z5:Z12" si="3">ROUND((Y5/Y4),2)</f>
        <v>0.94</v>
      </c>
    </row>
    <row r="6" spans="1:26" x14ac:dyDescent="0.35">
      <c r="A6" s="31" t="s">
        <v>36</v>
      </c>
      <c r="B6" s="32">
        <f>AB20/B5</f>
        <v>37.91685011635952</v>
      </c>
      <c r="D6" s="33" t="s">
        <v>37</v>
      </c>
      <c r="E6" s="34">
        <f>ROUND(ROUND((D5*100)/(D5+100),2)/100,2)</f>
        <v>0.56999999999999995</v>
      </c>
      <c r="G6" s="9" t="s">
        <v>38</v>
      </c>
      <c r="H6" s="10">
        <v>0.18</v>
      </c>
      <c r="J6" s="31" t="s">
        <v>39</v>
      </c>
      <c r="K6" s="21">
        <f>ROUND(($E$2*E12),0)</f>
        <v>16250</v>
      </c>
      <c r="L6" s="21">
        <f>ROUND(K6*($E$7),0)</f>
        <v>6988</v>
      </c>
      <c r="M6" s="22">
        <f>ROUND((K6*$E$6),0)</f>
        <v>9263</v>
      </c>
      <c r="O6" s="9" t="s">
        <v>40</v>
      </c>
      <c r="P6" s="23">
        <v>0.12</v>
      </c>
      <c r="Q6" s="21">
        <f t="shared" si="1"/>
        <v>-0.12783337150988489</v>
      </c>
      <c r="R6" s="22">
        <f t="shared" si="2"/>
        <v>6.1916848035314054E-2</v>
      </c>
      <c r="T6" s="9" t="s">
        <v>41</v>
      </c>
      <c r="U6" s="24">
        <f>(H3-(SUM(U8:U10)))*E10</f>
        <v>195.10400000000001</v>
      </c>
      <c r="V6" s="22">
        <v>0.19500000000000001</v>
      </c>
      <c r="X6" s="13">
        <v>2029</v>
      </c>
      <c r="Y6" s="21">
        <f t="shared" si="0"/>
        <v>48578</v>
      </c>
      <c r="Z6" s="22">
        <f t="shared" si="3"/>
        <v>0.94</v>
      </c>
    </row>
    <row r="7" spans="1:26" x14ac:dyDescent="0.35">
      <c r="D7" s="33" t="s">
        <v>42</v>
      </c>
      <c r="E7" s="34">
        <f>1 -E6</f>
        <v>0.43000000000000005</v>
      </c>
      <c r="G7" s="31" t="s">
        <v>43</v>
      </c>
      <c r="H7" s="35">
        <v>0.12</v>
      </c>
      <c r="O7" s="9" t="s">
        <v>44</v>
      </c>
      <c r="P7" s="23">
        <v>0.45</v>
      </c>
      <c r="Q7" s="21">
        <f t="shared" si="1"/>
        <v>-0.59783700075562041</v>
      </c>
      <c r="R7" s="22">
        <f t="shared" si="2"/>
        <v>0.25838015129043368</v>
      </c>
      <c r="T7" s="9" t="s">
        <v>45</v>
      </c>
      <c r="U7" s="24">
        <f>H2*H5</f>
        <v>494.45</v>
      </c>
      <c r="V7" s="22">
        <f>ROUND((U7/L5),2)</f>
        <v>0.09</v>
      </c>
      <c r="X7" s="13">
        <v>2030</v>
      </c>
      <c r="Y7" s="21">
        <f t="shared" si="0"/>
        <v>45277</v>
      </c>
      <c r="Z7" s="22">
        <f>ROUND((Y7/Y6),2)</f>
        <v>0.93</v>
      </c>
    </row>
    <row r="8" spans="1:26" x14ac:dyDescent="0.35">
      <c r="A8" s="70" t="s">
        <v>122</v>
      </c>
      <c r="B8" s="71" t="s">
        <v>124</v>
      </c>
      <c r="D8" s="19"/>
      <c r="E8" s="20"/>
      <c r="O8" s="9" t="s">
        <v>46</v>
      </c>
      <c r="P8" s="23">
        <v>0.47</v>
      </c>
      <c r="Q8" s="21">
        <f t="shared" si="1"/>
        <v>-0.6348782724359695</v>
      </c>
      <c r="R8" s="22">
        <f t="shared" si="2"/>
        <v>0.27198901107194817</v>
      </c>
      <c r="T8" s="9" t="s">
        <v>47</v>
      </c>
      <c r="U8" s="24">
        <f>H3*H6</f>
        <v>1254.24</v>
      </c>
      <c r="V8" s="22">
        <v>0.255</v>
      </c>
      <c r="X8" s="13">
        <v>2031</v>
      </c>
      <c r="Y8" s="21">
        <f t="shared" si="0"/>
        <v>42166</v>
      </c>
      <c r="Z8" s="22">
        <f t="shared" si="3"/>
        <v>0.93</v>
      </c>
    </row>
    <row r="9" spans="1:26" x14ac:dyDescent="0.35">
      <c r="D9" s="33" t="s">
        <v>48</v>
      </c>
      <c r="E9" s="30">
        <v>0.51</v>
      </c>
      <c r="O9" s="31" t="s">
        <v>49</v>
      </c>
      <c r="P9" s="36">
        <v>0.3</v>
      </c>
      <c r="Q9" s="21">
        <f t="shared" si="1"/>
        <v>-0.35667494393873245</v>
      </c>
      <c r="R9" s="22">
        <f>1-EXP(Q9*0.5)</f>
        <v>0.16333997346592444</v>
      </c>
      <c r="T9" s="9" t="s">
        <v>50</v>
      </c>
      <c r="U9" s="24">
        <f>H3*(H7/2)</f>
        <v>418.08</v>
      </c>
      <c r="V9" s="22">
        <f>ROUND((U9/L6),2)</f>
        <v>0.06</v>
      </c>
      <c r="X9" s="13">
        <v>2032</v>
      </c>
      <c r="Y9" s="21">
        <f t="shared" si="0"/>
        <v>39219</v>
      </c>
      <c r="Z9" s="22">
        <f t="shared" si="3"/>
        <v>0.93</v>
      </c>
    </row>
    <row r="10" spans="1:26" x14ac:dyDescent="0.35">
      <c r="D10" s="33" t="s">
        <v>51</v>
      </c>
      <c r="E10" s="30">
        <v>0.04</v>
      </c>
      <c r="T10" s="31" t="s">
        <v>52</v>
      </c>
      <c r="U10" s="37">
        <f>H3*(H7/2)</f>
        <v>418.08</v>
      </c>
      <c r="V10" s="38">
        <v>0.1</v>
      </c>
      <c r="X10" s="13">
        <v>2033</v>
      </c>
      <c r="Y10" s="21">
        <f t="shared" si="0"/>
        <v>36457</v>
      </c>
      <c r="Z10" s="22">
        <f t="shared" si="3"/>
        <v>0.93</v>
      </c>
    </row>
    <row r="11" spans="1:26" x14ac:dyDescent="0.35">
      <c r="D11" s="33" t="s">
        <v>53</v>
      </c>
      <c r="E11" s="30">
        <v>0.2</v>
      </c>
      <c r="X11" s="13">
        <v>2034</v>
      </c>
      <c r="Y11" s="21">
        <f t="shared" si="0"/>
        <v>33878</v>
      </c>
      <c r="Z11" s="22">
        <f t="shared" si="3"/>
        <v>0.93</v>
      </c>
    </row>
    <row r="12" spans="1:26" x14ac:dyDescent="0.35">
      <c r="D12" s="33" t="s">
        <v>54</v>
      </c>
      <c r="E12" s="30">
        <v>0.25</v>
      </c>
      <c r="F12" s="3">
        <f>SUM(E9:E12)</f>
        <v>1</v>
      </c>
      <c r="X12" s="39">
        <v>2035</v>
      </c>
      <c r="Y12" s="40">
        <f t="shared" si="0"/>
        <v>31475</v>
      </c>
      <c r="Z12" s="22">
        <f t="shared" si="3"/>
        <v>0.93</v>
      </c>
    </row>
    <row r="13" spans="1:26" x14ac:dyDescent="0.35">
      <c r="D13" s="19"/>
      <c r="E13" s="20"/>
    </row>
    <row r="14" spans="1:26" x14ac:dyDescent="0.35">
      <c r="D14" s="33" t="s">
        <v>55</v>
      </c>
      <c r="E14" s="30">
        <v>1.6</v>
      </c>
    </row>
    <row r="15" spans="1:26" x14ac:dyDescent="0.35">
      <c r="D15" s="41" t="s">
        <v>56</v>
      </c>
      <c r="E15" s="42">
        <v>0.2</v>
      </c>
    </row>
    <row r="17" spans="1:48" ht="15" thickBot="1" x14ac:dyDescent="0.4">
      <c r="I17" s="43"/>
    </row>
    <row r="18" spans="1:48" ht="15" thickBot="1" x14ac:dyDescent="0.4">
      <c r="B18" s="44" t="s">
        <v>57</v>
      </c>
      <c r="C18" s="45"/>
      <c r="D18" s="45"/>
      <c r="E18" s="45"/>
      <c r="F18" s="45"/>
      <c r="G18" s="45"/>
      <c r="H18" s="45"/>
      <c r="I18" s="45"/>
      <c r="J18" s="46"/>
      <c r="K18" s="47" t="s">
        <v>58</v>
      </c>
      <c r="L18" s="48"/>
      <c r="M18" s="48"/>
      <c r="N18" s="48"/>
      <c r="O18" s="48"/>
      <c r="P18" s="48"/>
      <c r="Q18" s="48"/>
      <c r="R18" s="48"/>
      <c r="S18" s="49"/>
      <c r="T18" s="47" t="s">
        <v>59</v>
      </c>
      <c r="U18" s="48"/>
      <c r="V18" s="48"/>
      <c r="W18" s="48"/>
      <c r="X18" s="48"/>
      <c r="Y18" s="48"/>
      <c r="Z18" s="48"/>
      <c r="AA18" s="48"/>
      <c r="AB18" s="49"/>
      <c r="AD18" s="50" t="s">
        <v>60</v>
      </c>
      <c r="AE18" s="51"/>
      <c r="AF18" s="51"/>
      <c r="AG18" s="51"/>
      <c r="AH18" s="51"/>
      <c r="AI18" s="51"/>
      <c r="AJ18" s="51"/>
      <c r="AK18" s="51"/>
      <c r="AL18" s="52"/>
      <c r="AN18" s="50" t="s">
        <v>112</v>
      </c>
      <c r="AO18" s="51"/>
      <c r="AP18" s="51"/>
      <c r="AQ18" s="51"/>
      <c r="AR18" s="51"/>
      <c r="AS18" s="51"/>
      <c r="AT18" s="51"/>
      <c r="AU18" s="51"/>
      <c r="AV18" s="52"/>
    </row>
    <row r="19" spans="1:48" x14ac:dyDescent="0.35">
      <c r="A19" s="53" t="s">
        <v>20</v>
      </c>
      <c r="B19" s="54" t="s">
        <v>61</v>
      </c>
      <c r="C19" s="14" t="s">
        <v>62</v>
      </c>
      <c r="D19" s="14" t="s">
        <v>63</v>
      </c>
      <c r="E19" s="14" t="s">
        <v>64</v>
      </c>
      <c r="F19" s="14" t="s">
        <v>65</v>
      </c>
      <c r="G19" s="14" t="s">
        <v>66</v>
      </c>
      <c r="H19" s="14" t="s">
        <v>67</v>
      </c>
      <c r="I19" s="14" t="s">
        <v>68</v>
      </c>
      <c r="J19" s="14" t="s">
        <v>69</v>
      </c>
      <c r="K19" s="55" t="s">
        <v>70</v>
      </c>
      <c r="L19" s="56" t="s">
        <v>71</v>
      </c>
      <c r="M19" s="56" t="s">
        <v>72</v>
      </c>
      <c r="N19" s="56" t="s">
        <v>73</v>
      </c>
      <c r="O19" s="56" t="s">
        <v>74</v>
      </c>
      <c r="P19" s="56" t="s">
        <v>75</v>
      </c>
      <c r="Q19" s="56" t="s">
        <v>76</v>
      </c>
      <c r="R19" s="56" t="s">
        <v>77</v>
      </c>
      <c r="S19" s="14" t="s">
        <v>78</v>
      </c>
      <c r="T19" s="56" t="s">
        <v>79</v>
      </c>
      <c r="U19" s="56" t="s">
        <v>80</v>
      </c>
      <c r="V19" s="56" t="s">
        <v>81</v>
      </c>
      <c r="W19" s="56" t="s">
        <v>82</v>
      </c>
      <c r="X19" s="56" t="s">
        <v>83</v>
      </c>
      <c r="Y19" s="56" t="s">
        <v>84</v>
      </c>
      <c r="Z19" s="56" t="s">
        <v>85</v>
      </c>
      <c r="AA19" s="56" t="s">
        <v>86</v>
      </c>
      <c r="AB19" s="56" t="s">
        <v>87</v>
      </c>
      <c r="AD19" s="56" t="s">
        <v>79</v>
      </c>
      <c r="AE19" s="56" t="s">
        <v>80</v>
      </c>
      <c r="AF19" s="56" t="s">
        <v>81</v>
      </c>
      <c r="AG19" s="56" t="s">
        <v>82</v>
      </c>
      <c r="AH19" s="56" t="s">
        <v>83</v>
      </c>
      <c r="AI19" s="56" t="s">
        <v>84</v>
      </c>
      <c r="AJ19" s="56" t="s">
        <v>85</v>
      </c>
      <c r="AK19" s="56" t="s">
        <v>86</v>
      </c>
      <c r="AL19" s="56" t="s">
        <v>88</v>
      </c>
      <c r="AN19" s="64" t="s">
        <v>113</v>
      </c>
      <c r="AO19" s="14" t="s">
        <v>114</v>
      </c>
      <c r="AP19" s="14" t="s">
        <v>115</v>
      </c>
      <c r="AQ19" s="14" t="s">
        <v>116</v>
      </c>
      <c r="AR19" s="14" t="s">
        <v>117</v>
      </c>
      <c r="AS19" s="14" t="s">
        <v>118</v>
      </c>
      <c r="AT19" s="14" t="s">
        <v>119</v>
      </c>
      <c r="AU19" s="14" t="s">
        <v>120</v>
      </c>
      <c r="AV19" s="14" t="s">
        <v>121</v>
      </c>
    </row>
    <row r="20" spans="1:48" x14ac:dyDescent="0.35">
      <c r="A20" s="57">
        <v>2026</v>
      </c>
      <c r="B20" s="58">
        <f>ROUND((L3-(L3*V3)),0)</f>
        <v>10406</v>
      </c>
      <c r="C20" s="21">
        <f>ROUND((M3-(M3*V4)),0)</f>
        <v>11810</v>
      </c>
      <c r="D20" s="21">
        <f>ROUND((L4 - (L4*$V$5)),0)</f>
        <v>961</v>
      </c>
      <c r="E20" s="21">
        <f>ROUND((M4 - (M4*$V$6)),0)</f>
        <v>1193</v>
      </c>
      <c r="F20" s="21">
        <f>ROUND((L5-(L5*V7)),0)</f>
        <v>5087</v>
      </c>
      <c r="G20" s="21">
        <f>ROUND((M5-(M5*V8)),0)</f>
        <v>5520</v>
      </c>
      <c r="H20" s="21">
        <f>ROUND((L6 - (L6*V9)),0)</f>
        <v>6569</v>
      </c>
      <c r="I20" s="21">
        <f>ROUND((M6 - (M6*$V$10)),0)</f>
        <v>8337</v>
      </c>
      <c r="J20" s="21">
        <f>SUM(B20:I20)</f>
        <v>49883</v>
      </c>
      <c r="K20" s="59">
        <f t="shared" ref="K20:K29" si="4">ROUND((B20+D20) - ((B20+D20)*$R$3),0)</f>
        <v>10167</v>
      </c>
      <c r="L20" s="60">
        <f t="shared" ref="L20:L29" si="5">ROUND((C20+E20) - ((C20+E20)*$R$4),0)</f>
        <v>11417</v>
      </c>
      <c r="M20" s="60">
        <f t="shared" ref="M20:M29" si="6">ROUND((F20-(F20*$R$3)),0)</f>
        <v>4550</v>
      </c>
      <c r="N20" s="60">
        <f t="shared" ref="N20:N29" si="7">ROUND((G20-(G20*$R$4)),0)</f>
        <v>4847</v>
      </c>
      <c r="O20" s="60">
        <f t="shared" ref="O20:O29" si="8">ROUND((H20-(H20*$R$7)),0)</f>
        <v>4872</v>
      </c>
      <c r="P20" s="60">
        <f t="shared" ref="P20:P29" si="9">ROUND((I20-(I20*$R$8)),0)</f>
        <v>6069</v>
      </c>
      <c r="Q20" s="60">
        <f>ROUND((((L20*$E$14)+(P20*$E$15)+(N20*$E$14))/2),0)</f>
        <v>13618</v>
      </c>
      <c r="R20" s="60">
        <f t="shared" ref="R20:R29" si="10">Q20</f>
        <v>13618</v>
      </c>
      <c r="S20" s="21">
        <f t="shared" ref="S20:S29" si="11">SUM(K20:R20)</f>
        <v>69158</v>
      </c>
      <c r="T20" s="60">
        <f>ROUND(((K20) - ((K20)*$R$3)),0)-AN20</f>
        <v>9094</v>
      </c>
      <c r="U20" s="60">
        <f>ROUND(((L20) - ((L20)*$R$4)),0)-AO20</f>
        <v>10025</v>
      </c>
      <c r="V20" s="60">
        <f>ROUND((M20 -(M20*$R$3)),0)-AP20</f>
        <v>4070</v>
      </c>
      <c r="W20" s="60">
        <f>ROUND((N20 - (N20*$R$4)),0)-AQ20</f>
        <v>4256</v>
      </c>
      <c r="X20" s="60">
        <f>ROUND((O20 - (O20*$R$5)),0)-AR20</f>
        <v>4358</v>
      </c>
      <c r="Y20" s="60">
        <f>ROUND(((P20) - ((P20)*$R$6)),0)-AS20</f>
        <v>5693</v>
      </c>
      <c r="Z20" s="60">
        <f>ROUND((Q20 - (Q20*$R$9)),0)-AT20</f>
        <v>11394</v>
      </c>
      <c r="AA20" s="60">
        <f>ROUND(((R20) - ((R20)*$R$9)),0)-AU20</f>
        <v>11394</v>
      </c>
      <c r="AB20" s="60">
        <f>SUM(T20:AA20)</f>
        <v>60284</v>
      </c>
      <c r="AD20" s="21">
        <f t="shared" ref="AD20:AD29" si="12">ROUND(((T20+V20)*$R$3)+((K20)*$R$3), 0)</f>
        <v>2463</v>
      </c>
      <c r="AE20" s="21">
        <f t="shared" ref="AE20:AE29" si="13">ROUND(((U20+W20)*$R$4)+(L20*R4),0)</f>
        <v>3133</v>
      </c>
      <c r="AF20" s="21">
        <f t="shared" ref="AF20:AF29" si="14">ROUND(((V20)*$R$3)+(M20*$R$3),0)</f>
        <v>910</v>
      </c>
      <c r="AG20" s="21">
        <f t="shared" ref="AG20:AG29" si="15">ROUND(((W20)*$R$4)+(N20*$R$4),0)</f>
        <v>1110</v>
      </c>
      <c r="AH20" s="21">
        <f t="shared" ref="AH20:AH29" si="16">ROUND(((X20)*$R$5)+(O20*$R$5),0)</f>
        <v>974</v>
      </c>
      <c r="AI20" s="21">
        <f t="shared" ref="AI20:AI29" si="17">ROUND(((Y20)*$R$6)+(P20*$R$6),0)</f>
        <v>728</v>
      </c>
      <c r="AJ20" s="21">
        <f t="shared" ref="AJ20:AJ29" si="18">ROUND(((Z20)*$R$7)+(Q20*$R$7),0)</f>
        <v>6463</v>
      </c>
      <c r="AK20" s="21">
        <f t="shared" ref="AK20:AK29" si="19">ROUND(((AA20)*$R$8)+(R20*$R$8),0)</f>
        <v>6803</v>
      </c>
      <c r="AL20" s="21">
        <f>SUM(AD20:AK20)</f>
        <v>22584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f>SUM(AN20:AU20)</f>
        <v>0</v>
      </c>
    </row>
    <row r="21" spans="1:48" x14ac:dyDescent="0.35">
      <c r="A21" s="57">
        <v>2027</v>
      </c>
      <c r="B21" s="58">
        <f t="shared" ref="B21:B29" si="20">ROUND((T20-(T20*$V$3)),0)</f>
        <v>6639</v>
      </c>
      <c r="C21" s="21">
        <f t="shared" ref="C21:C29" si="21">ROUND((U20-(U20*$V$4)),0)</f>
        <v>6266</v>
      </c>
      <c r="D21" s="21">
        <f t="shared" ref="D21:D29" si="22">ROUND((V20 - (V20*$V$5)),0)</f>
        <v>3500</v>
      </c>
      <c r="E21" s="21">
        <f t="shared" ref="E21:E29" si="23">ROUND((W20 - (W20*$V$6)),0)</f>
        <v>3426</v>
      </c>
      <c r="F21" s="21">
        <f t="shared" ref="F21:F29" si="24">ROUND((X20-(X20*$V$8)),0)</f>
        <v>3247</v>
      </c>
      <c r="G21" s="21">
        <f t="shared" ref="G21:G29" si="25">ROUND((Y20-(Y20*$V$9)),0)</f>
        <v>5351</v>
      </c>
      <c r="H21" s="21">
        <f t="shared" ref="H21:H29" si="26">ROUND((Z20 - (Z20*$V$9)),0)</f>
        <v>10710</v>
      </c>
      <c r="I21" s="21">
        <f t="shared" ref="I21:I29" si="27">ROUND((AA20 - (AA20*$V$10)),0)</f>
        <v>10255</v>
      </c>
      <c r="J21" s="21">
        <f t="shared" ref="J21:J29" si="28">SUM(B21:I21)</f>
        <v>49394</v>
      </c>
      <c r="K21" s="59">
        <f t="shared" si="4"/>
        <v>9069</v>
      </c>
      <c r="L21" s="60">
        <f t="shared" si="5"/>
        <v>8510</v>
      </c>
      <c r="M21" s="60">
        <f t="shared" si="6"/>
        <v>2904</v>
      </c>
      <c r="N21" s="60">
        <f t="shared" si="7"/>
        <v>4699</v>
      </c>
      <c r="O21" s="60">
        <f t="shared" si="8"/>
        <v>7943</v>
      </c>
      <c r="P21" s="60">
        <f t="shared" si="9"/>
        <v>7466</v>
      </c>
      <c r="Q21" s="60">
        <f t="shared" ref="Q21:Q29" si="29">ROUND((((L21*$E$14)+(P21*$E$15)+(N21*$E$14))/2),0)</f>
        <v>11314</v>
      </c>
      <c r="R21" s="60">
        <f t="shared" si="10"/>
        <v>11314</v>
      </c>
      <c r="S21" s="21">
        <f t="shared" si="11"/>
        <v>63219</v>
      </c>
      <c r="T21" s="60">
        <f>ROUND(((K21) - ((K21)*$R$3)),0)-AN21</f>
        <v>8112</v>
      </c>
      <c r="U21" s="60">
        <f>ROUND(((L21) - ((L21)*$R$4)),0)-AO21</f>
        <v>7472</v>
      </c>
      <c r="V21" s="60">
        <f t="shared" ref="V21:V29" si="30">ROUND((M21 -(M21*$R$3)),0)-AP21</f>
        <v>2597</v>
      </c>
      <c r="W21" s="60">
        <f t="shared" ref="W21:W29" si="31">ROUND((N21 - (N21*$R$4)),0)-AQ21</f>
        <v>4126</v>
      </c>
      <c r="X21" s="60">
        <f t="shared" ref="X21:X29" si="32">ROUND((O21 - (O21*$R$5)),0)-AR21</f>
        <v>7104</v>
      </c>
      <c r="Y21" s="60">
        <f t="shared" ref="Y21:Y29" si="33">ROUND(((P21) - ((P21)*$R$6)),0)-AS21</f>
        <v>7004</v>
      </c>
      <c r="Z21" s="60">
        <f t="shared" ref="Z21:Z29" si="34">ROUND((Q21 - (Q21*$R$9)),0)-AT21</f>
        <v>9466</v>
      </c>
      <c r="AA21" s="60">
        <f t="shared" ref="AA21:AA29" si="35">ROUND(((R21) - ((R21)*$R$9)),0)-AU21</f>
        <v>9466</v>
      </c>
      <c r="AB21" s="60">
        <f t="shared" ref="AB21:AB29" si="36">SUM(T21:AA21)</f>
        <v>55347</v>
      </c>
      <c r="AD21" s="21">
        <f t="shared" si="12"/>
        <v>2088</v>
      </c>
      <c r="AE21" s="21">
        <f t="shared" si="13"/>
        <v>2313</v>
      </c>
      <c r="AF21" s="21">
        <f t="shared" si="14"/>
        <v>581</v>
      </c>
      <c r="AG21" s="21">
        <f t="shared" si="15"/>
        <v>1076</v>
      </c>
      <c r="AH21" s="21">
        <f t="shared" si="16"/>
        <v>1589</v>
      </c>
      <c r="AI21" s="21">
        <f t="shared" si="17"/>
        <v>896</v>
      </c>
      <c r="AJ21" s="21">
        <f t="shared" si="18"/>
        <v>5369</v>
      </c>
      <c r="AK21" s="21">
        <f t="shared" si="19"/>
        <v>5652</v>
      </c>
      <c r="AL21" s="21">
        <f t="shared" ref="AL21:AL29" si="37">SUM(AD21:AK21)</f>
        <v>19564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f t="shared" ref="AV21:AV29" si="38">SUM(AN21:AU21)</f>
        <v>0</v>
      </c>
    </row>
    <row r="22" spans="1:48" x14ac:dyDescent="0.35">
      <c r="A22" s="57">
        <v>2028</v>
      </c>
      <c r="B22" s="58">
        <f t="shared" si="20"/>
        <v>5922</v>
      </c>
      <c r="C22" s="21">
        <f t="shared" si="21"/>
        <v>4670</v>
      </c>
      <c r="D22" s="21">
        <f t="shared" si="22"/>
        <v>2233</v>
      </c>
      <c r="E22" s="21">
        <f t="shared" si="23"/>
        <v>3321</v>
      </c>
      <c r="F22" s="21">
        <f t="shared" si="24"/>
        <v>5292</v>
      </c>
      <c r="G22" s="21">
        <f t="shared" si="25"/>
        <v>6584</v>
      </c>
      <c r="H22" s="21">
        <f t="shared" si="26"/>
        <v>8898</v>
      </c>
      <c r="I22" s="21">
        <f t="shared" si="27"/>
        <v>8519</v>
      </c>
      <c r="J22" s="21">
        <f t="shared" si="28"/>
        <v>45439</v>
      </c>
      <c r="K22" s="59">
        <f t="shared" si="4"/>
        <v>7294</v>
      </c>
      <c r="L22" s="60">
        <f t="shared" si="5"/>
        <v>7017</v>
      </c>
      <c r="M22" s="60">
        <f t="shared" si="6"/>
        <v>4733</v>
      </c>
      <c r="N22" s="60">
        <f t="shared" si="7"/>
        <v>5781</v>
      </c>
      <c r="O22" s="60">
        <f t="shared" si="8"/>
        <v>6599</v>
      </c>
      <c r="P22" s="60">
        <f t="shared" si="9"/>
        <v>6202</v>
      </c>
      <c r="Q22" s="60">
        <f t="shared" si="29"/>
        <v>10859</v>
      </c>
      <c r="R22" s="60">
        <f t="shared" si="10"/>
        <v>10859</v>
      </c>
      <c r="S22" s="21">
        <f t="shared" si="11"/>
        <v>59344</v>
      </c>
      <c r="T22" s="60">
        <f t="shared" ref="T22:T29" si="39">ROUND(((K22) - ((K22)*$R$3)),0)-AN22</f>
        <v>6524</v>
      </c>
      <c r="U22" s="60">
        <f t="shared" ref="U22:U29" si="40">ROUND(((L22) - ((L22)*$R$4)),0)-AO22</f>
        <v>6161</v>
      </c>
      <c r="V22" s="60">
        <f t="shared" si="30"/>
        <v>4233</v>
      </c>
      <c r="W22" s="60">
        <f t="shared" si="31"/>
        <v>5076</v>
      </c>
      <c r="X22" s="60">
        <f t="shared" si="32"/>
        <v>5902</v>
      </c>
      <c r="Y22" s="60">
        <f t="shared" si="33"/>
        <v>5818</v>
      </c>
      <c r="Z22" s="60">
        <f t="shared" si="34"/>
        <v>9085</v>
      </c>
      <c r="AA22" s="60">
        <f t="shared" si="35"/>
        <v>9085</v>
      </c>
      <c r="AB22" s="60">
        <f t="shared" si="36"/>
        <v>51884</v>
      </c>
      <c r="AD22" s="21">
        <f t="shared" si="12"/>
        <v>1906</v>
      </c>
      <c r="AE22" s="21">
        <f t="shared" si="13"/>
        <v>1805</v>
      </c>
      <c r="AF22" s="21">
        <f t="shared" si="14"/>
        <v>947</v>
      </c>
      <c r="AG22" s="21">
        <f t="shared" si="15"/>
        <v>1324</v>
      </c>
      <c r="AH22" s="21">
        <f t="shared" si="16"/>
        <v>1320</v>
      </c>
      <c r="AI22" s="21">
        <f t="shared" si="17"/>
        <v>744</v>
      </c>
      <c r="AJ22" s="21">
        <f t="shared" si="18"/>
        <v>5153</v>
      </c>
      <c r="AK22" s="21">
        <f t="shared" si="19"/>
        <v>5425</v>
      </c>
      <c r="AL22" s="21">
        <f t="shared" si="37"/>
        <v>18624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f t="shared" si="38"/>
        <v>0</v>
      </c>
    </row>
    <row r="23" spans="1:48" x14ac:dyDescent="0.35">
      <c r="A23" s="57">
        <v>2029</v>
      </c>
      <c r="B23" s="58">
        <f t="shared" si="20"/>
        <v>4763</v>
      </c>
      <c r="C23" s="21">
        <f t="shared" si="21"/>
        <v>3851</v>
      </c>
      <c r="D23" s="21">
        <f t="shared" si="22"/>
        <v>3640</v>
      </c>
      <c r="E23" s="21">
        <f t="shared" si="23"/>
        <v>4086</v>
      </c>
      <c r="F23" s="21">
        <f t="shared" si="24"/>
        <v>4397</v>
      </c>
      <c r="G23" s="21">
        <f t="shared" si="25"/>
        <v>5469</v>
      </c>
      <c r="H23" s="21">
        <f t="shared" si="26"/>
        <v>8540</v>
      </c>
      <c r="I23" s="21">
        <f t="shared" si="27"/>
        <v>8177</v>
      </c>
      <c r="J23" s="21">
        <f t="shared" si="28"/>
        <v>42923</v>
      </c>
      <c r="K23" s="59">
        <f t="shared" si="4"/>
        <v>7516</v>
      </c>
      <c r="L23" s="60">
        <f t="shared" si="5"/>
        <v>6969</v>
      </c>
      <c r="M23" s="60">
        <f t="shared" si="6"/>
        <v>3933</v>
      </c>
      <c r="N23" s="60">
        <f t="shared" si="7"/>
        <v>4802</v>
      </c>
      <c r="O23" s="60">
        <f t="shared" si="8"/>
        <v>6333</v>
      </c>
      <c r="P23" s="60">
        <f t="shared" si="9"/>
        <v>5953</v>
      </c>
      <c r="Q23" s="60">
        <f t="shared" si="29"/>
        <v>10012</v>
      </c>
      <c r="R23" s="60">
        <f t="shared" si="10"/>
        <v>10012</v>
      </c>
      <c r="S23" s="21">
        <f t="shared" si="11"/>
        <v>55530</v>
      </c>
      <c r="T23" s="60">
        <f t="shared" si="39"/>
        <v>6723</v>
      </c>
      <c r="U23" s="60">
        <f t="shared" si="40"/>
        <v>6119</v>
      </c>
      <c r="V23" s="60">
        <f t="shared" si="30"/>
        <v>3518</v>
      </c>
      <c r="W23" s="60">
        <f t="shared" si="31"/>
        <v>4216</v>
      </c>
      <c r="X23" s="60">
        <f t="shared" si="32"/>
        <v>5664</v>
      </c>
      <c r="Y23" s="60">
        <f t="shared" si="33"/>
        <v>5584</v>
      </c>
      <c r="Z23" s="60">
        <f t="shared" si="34"/>
        <v>8377</v>
      </c>
      <c r="AA23" s="60">
        <f t="shared" si="35"/>
        <v>8377</v>
      </c>
      <c r="AB23" s="60">
        <f t="shared" si="36"/>
        <v>48578</v>
      </c>
      <c r="AD23" s="21">
        <f t="shared" si="12"/>
        <v>1875</v>
      </c>
      <c r="AE23" s="21">
        <f t="shared" si="13"/>
        <v>3061</v>
      </c>
      <c r="AF23" s="21">
        <f t="shared" si="14"/>
        <v>787</v>
      </c>
      <c r="AG23" s="21">
        <f t="shared" si="15"/>
        <v>1100</v>
      </c>
      <c r="AH23" s="21">
        <f t="shared" si="16"/>
        <v>1267</v>
      </c>
      <c r="AI23" s="21">
        <f t="shared" si="17"/>
        <v>714</v>
      </c>
      <c r="AJ23" s="21">
        <f t="shared" si="18"/>
        <v>4751</v>
      </c>
      <c r="AK23" s="21">
        <f t="shared" si="19"/>
        <v>5002</v>
      </c>
      <c r="AL23" s="21">
        <f t="shared" si="37"/>
        <v>18557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f t="shared" si="38"/>
        <v>0</v>
      </c>
    </row>
    <row r="24" spans="1:48" x14ac:dyDescent="0.35">
      <c r="A24" s="57">
        <v>2030</v>
      </c>
      <c r="B24" s="58">
        <f t="shared" si="20"/>
        <v>4908</v>
      </c>
      <c r="C24" s="21">
        <f t="shared" si="21"/>
        <v>3824</v>
      </c>
      <c r="D24" s="21">
        <f t="shared" si="22"/>
        <v>3025</v>
      </c>
      <c r="E24" s="21">
        <f t="shared" si="23"/>
        <v>3394</v>
      </c>
      <c r="F24" s="21">
        <f t="shared" si="24"/>
        <v>4220</v>
      </c>
      <c r="G24" s="21">
        <f t="shared" si="25"/>
        <v>5249</v>
      </c>
      <c r="H24" s="21">
        <f t="shared" si="26"/>
        <v>7874</v>
      </c>
      <c r="I24" s="21">
        <f t="shared" si="27"/>
        <v>7539</v>
      </c>
      <c r="J24" s="21">
        <f t="shared" si="28"/>
        <v>40033</v>
      </c>
      <c r="K24" s="59">
        <f t="shared" si="4"/>
        <v>7095</v>
      </c>
      <c r="L24" s="60">
        <f t="shared" si="5"/>
        <v>6338</v>
      </c>
      <c r="M24" s="60">
        <f t="shared" si="6"/>
        <v>3774</v>
      </c>
      <c r="N24" s="60">
        <f t="shared" si="7"/>
        <v>4609</v>
      </c>
      <c r="O24" s="60">
        <f t="shared" si="8"/>
        <v>5840</v>
      </c>
      <c r="P24" s="60">
        <f t="shared" si="9"/>
        <v>5488</v>
      </c>
      <c r="Q24" s="60">
        <f t="shared" si="29"/>
        <v>9306</v>
      </c>
      <c r="R24" s="60">
        <f t="shared" si="10"/>
        <v>9306</v>
      </c>
      <c r="S24" s="21">
        <f t="shared" si="11"/>
        <v>51756</v>
      </c>
      <c r="T24" s="60">
        <f t="shared" si="39"/>
        <v>6346</v>
      </c>
      <c r="U24" s="60">
        <f t="shared" si="40"/>
        <v>5565</v>
      </c>
      <c r="V24" s="60">
        <f t="shared" si="30"/>
        <v>3376</v>
      </c>
      <c r="W24" s="60">
        <f t="shared" si="31"/>
        <v>4047</v>
      </c>
      <c r="X24" s="60">
        <f t="shared" si="32"/>
        <v>5223</v>
      </c>
      <c r="Y24" s="60">
        <f t="shared" si="33"/>
        <v>5148</v>
      </c>
      <c r="Z24" s="60">
        <f t="shared" si="34"/>
        <v>7786</v>
      </c>
      <c r="AA24" s="60">
        <f t="shared" si="35"/>
        <v>7786</v>
      </c>
      <c r="AB24" s="60">
        <f t="shared" si="36"/>
        <v>45277</v>
      </c>
      <c r="AD24" s="21">
        <f t="shared" si="12"/>
        <v>1775</v>
      </c>
      <c r="AE24" s="21">
        <f t="shared" si="13"/>
        <v>2896</v>
      </c>
      <c r="AF24" s="21">
        <f t="shared" si="14"/>
        <v>755</v>
      </c>
      <c r="AG24" s="21">
        <f t="shared" si="15"/>
        <v>1055</v>
      </c>
      <c r="AH24" s="21">
        <f t="shared" si="16"/>
        <v>1168</v>
      </c>
      <c r="AI24" s="21">
        <f t="shared" si="17"/>
        <v>659</v>
      </c>
      <c r="AJ24" s="21">
        <f t="shared" si="18"/>
        <v>4416</v>
      </c>
      <c r="AK24" s="21">
        <f t="shared" si="19"/>
        <v>4649</v>
      </c>
      <c r="AL24" s="21">
        <f t="shared" si="37"/>
        <v>17373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f t="shared" si="38"/>
        <v>0</v>
      </c>
    </row>
    <row r="25" spans="1:48" x14ac:dyDescent="0.35">
      <c r="A25" s="57">
        <v>2031</v>
      </c>
      <c r="B25" s="58">
        <f t="shared" si="20"/>
        <v>4633</v>
      </c>
      <c r="C25" s="21">
        <f t="shared" si="21"/>
        <v>3478</v>
      </c>
      <c r="D25" s="21">
        <f t="shared" si="22"/>
        <v>2903</v>
      </c>
      <c r="E25" s="21">
        <f t="shared" si="23"/>
        <v>3258</v>
      </c>
      <c r="F25" s="21">
        <f t="shared" si="24"/>
        <v>3891</v>
      </c>
      <c r="G25" s="21">
        <f t="shared" si="25"/>
        <v>4839</v>
      </c>
      <c r="H25" s="21">
        <f t="shared" si="26"/>
        <v>7319</v>
      </c>
      <c r="I25" s="21">
        <f t="shared" si="27"/>
        <v>7007</v>
      </c>
      <c r="J25" s="21">
        <f t="shared" si="28"/>
        <v>37328</v>
      </c>
      <c r="K25" s="59">
        <f t="shared" si="4"/>
        <v>6740</v>
      </c>
      <c r="L25" s="60">
        <f t="shared" si="5"/>
        <v>5915</v>
      </c>
      <c r="M25" s="60">
        <f t="shared" si="6"/>
        <v>3480</v>
      </c>
      <c r="N25" s="60">
        <f t="shared" si="7"/>
        <v>4249</v>
      </c>
      <c r="O25" s="60">
        <f t="shared" si="8"/>
        <v>5428</v>
      </c>
      <c r="P25" s="60">
        <f t="shared" si="9"/>
        <v>5101</v>
      </c>
      <c r="Q25" s="60">
        <f t="shared" si="29"/>
        <v>8641</v>
      </c>
      <c r="R25" s="60">
        <f t="shared" si="10"/>
        <v>8641</v>
      </c>
      <c r="S25" s="21">
        <f t="shared" si="11"/>
        <v>48195</v>
      </c>
      <c r="T25" s="60">
        <f t="shared" si="39"/>
        <v>6028</v>
      </c>
      <c r="U25" s="60">
        <f t="shared" si="40"/>
        <v>5194</v>
      </c>
      <c r="V25" s="60">
        <f t="shared" si="30"/>
        <v>3113</v>
      </c>
      <c r="W25" s="60">
        <f t="shared" si="31"/>
        <v>3731</v>
      </c>
      <c r="X25" s="60">
        <f t="shared" si="32"/>
        <v>4855</v>
      </c>
      <c r="Y25" s="60">
        <f t="shared" si="33"/>
        <v>4785</v>
      </c>
      <c r="Z25" s="60">
        <f t="shared" si="34"/>
        <v>7230</v>
      </c>
      <c r="AA25" s="60">
        <f t="shared" si="35"/>
        <v>7230</v>
      </c>
      <c r="AB25" s="60">
        <f t="shared" si="36"/>
        <v>42166</v>
      </c>
      <c r="AD25" s="21">
        <f t="shared" si="12"/>
        <v>1677</v>
      </c>
      <c r="AE25" s="21">
        <f t="shared" si="13"/>
        <v>2054</v>
      </c>
      <c r="AF25" s="21">
        <f t="shared" si="14"/>
        <v>696</v>
      </c>
      <c r="AG25" s="21">
        <f t="shared" si="15"/>
        <v>973</v>
      </c>
      <c r="AH25" s="21">
        <f t="shared" si="16"/>
        <v>1086</v>
      </c>
      <c r="AI25" s="21">
        <f t="shared" si="17"/>
        <v>612</v>
      </c>
      <c r="AJ25" s="21">
        <f t="shared" si="18"/>
        <v>4101</v>
      </c>
      <c r="AK25" s="21">
        <f t="shared" si="19"/>
        <v>4317</v>
      </c>
      <c r="AL25" s="21">
        <f t="shared" si="37"/>
        <v>15516</v>
      </c>
      <c r="AN25" s="21">
        <v>0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f t="shared" si="38"/>
        <v>0</v>
      </c>
    </row>
    <row r="26" spans="1:48" x14ac:dyDescent="0.35">
      <c r="A26" s="57">
        <v>2032</v>
      </c>
      <c r="B26" s="58">
        <f t="shared" si="20"/>
        <v>4400</v>
      </c>
      <c r="C26" s="21">
        <f t="shared" si="21"/>
        <v>3246</v>
      </c>
      <c r="D26" s="21">
        <f t="shared" si="22"/>
        <v>2677</v>
      </c>
      <c r="E26" s="21">
        <f t="shared" si="23"/>
        <v>3003</v>
      </c>
      <c r="F26" s="21">
        <f t="shared" si="24"/>
        <v>3617</v>
      </c>
      <c r="G26" s="21">
        <f t="shared" si="25"/>
        <v>4498</v>
      </c>
      <c r="H26" s="21">
        <f t="shared" si="26"/>
        <v>6796</v>
      </c>
      <c r="I26" s="21">
        <f t="shared" si="27"/>
        <v>6507</v>
      </c>
      <c r="J26" s="21">
        <f t="shared" si="28"/>
        <v>34744</v>
      </c>
      <c r="K26" s="59">
        <f t="shared" si="4"/>
        <v>6330</v>
      </c>
      <c r="L26" s="60">
        <f t="shared" si="5"/>
        <v>5487</v>
      </c>
      <c r="M26" s="60">
        <f t="shared" si="6"/>
        <v>3235</v>
      </c>
      <c r="N26" s="60">
        <f t="shared" si="7"/>
        <v>3950</v>
      </c>
      <c r="O26" s="60">
        <f t="shared" si="8"/>
        <v>5040</v>
      </c>
      <c r="P26" s="60">
        <f t="shared" si="9"/>
        <v>4737</v>
      </c>
      <c r="Q26" s="60">
        <f t="shared" si="29"/>
        <v>8023</v>
      </c>
      <c r="R26" s="60">
        <f t="shared" si="10"/>
        <v>8023</v>
      </c>
      <c r="S26" s="21">
        <f t="shared" si="11"/>
        <v>44825</v>
      </c>
      <c r="T26" s="60">
        <f t="shared" si="39"/>
        <v>5662</v>
      </c>
      <c r="U26" s="60">
        <f t="shared" si="40"/>
        <v>4818</v>
      </c>
      <c r="V26" s="60">
        <f t="shared" si="30"/>
        <v>2893</v>
      </c>
      <c r="W26" s="60">
        <f t="shared" si="31"/>
        <v>3468</v>
      </c>
      <c r="X26" s="60">
        <f t="shared" si="32"/>
        <v>4508</v>
      </c>
      <c r="Y26" s="60">
        <f t="shared" si="33"/>
        <v>4444</v>
      </c>
      <c r="Z26" s="60">
        <f t="shared" si="34"/>
        <v>6713</v>
      </c>
      <c r="AA26" s="60">
        <f t="shared" si="35"/>
        <v>6713</v>
      </c>
      <c r="AB26" s="60">
        <f t="shared" si="36"/>
        <v>39219</v>
      </c>
      <c r="AD26" s="21">
        <f t="shared" si="12"/>
        <v>1571</v>
      </c>
      <c r="AE26" s="21">
        <f t="shared" si="13"/>
        <v>1010</v>
      </c>
      <c r="AF26" s="21">
        <f t="shared" si="14"/>
        <v>647</v>
      </c>
      <c r="AG26" s="21">
        <f t="shared" si="15"/>
        <v>905</v>
      </c>
      <c r="AH26" s="21">
        <f t="shared" si="16"/>
        <v>1008</v>
      </c>
      <c r="AI26" s="21">
        <f t="shared" si="17"/>
        <v>568</v>
      </c>
      <c r="AJ26" s="21">
        <f t="shared" si="18"/>
        <v>3807</v>
      </c>
      <c r="AK26" s="21">
        <f t="shared" si="19"/>
        <v>4008</v>
      </c>
      <c r="AL26" s="21">
        <f t="shared" si="37"/>
        <v>13524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f t="shared" si="38"/>
        <v>0</v>
      </c>
    </row>
    <row r="27" spans="1:48" x14ac:dyDescent="0.35">
      <c r="A27" s="57">
        <v>2033</v>
      </c>
      <c r="B27" s="58">
        <f t="shared" si="20"/>
        <v>4133</v>
      </c>
      <c r="C27" s="21">
        <f t="shared" si="21"/>
        <v>3011</v>
      </c>
      <c r="D27" s="21">
        <f t="shared" si="22"/>
        <v>2488</v>
      </c>
      <c r="E27" s="21">
        <f t="shared" si="23"/>
        <v>2792</v>
      </c>
      <c r="F27" s="21">
        <f t="shared" si="24"/>
        <v>3358</v>
      </c>
      <c r="G27" s="21">
        <f t="shared" si="25"/>
        <v>4177</v>
      </c>
      <c r="H27" s="21">
        <f t="shared" si="26"/>
        <v>6310</v>
      </c>
      <c r="I27" s="21">
        <f t="shared" si="27"/>
        <v>6042</v>
      </c>
      <c r="J27" s="21">
        <f t="shared" si="28"/>
        <v>32311</v>
      </c>
      <c r="K27" s="59">
        <f t="shared" si="4"/>
        <v>5922</v>
      </c>
      <c r="L27" s="60">
        <f t="shared" si="5"/>
        <v>5095</v>
      </c>
      <c r="M27" s="60">
        <f t="shared" si="6"/>
        <v>3003</v>
      </c>
      <c r="N27" s="60">
        <f t="shared" si="7"/>
        <v>3668</v>
      </c>
      <c r="O27" s="60">
        <f t="shared" si="8"/>
        <v>4680</v>
      </c>
      <c r="P27" s="60">
        <f t="shared" si="9"/>
        <v>4399</v>
      </c>
      <c r="Q27" s="60">
        <f t="shared" si="29"/>
        <v>7450</v>
      </c>
      <c r="R27" s="60">
        <f t="shared" si="10"/>
        <v>7450</v>
      </c>
      <c r="S27" s="21">
        <f t="shared" si="11"/>
        <v>41667</v>
      </c>
      <c r="T27" s="60">
        <f t="shared" si="39"/>
        <v>5297</v>
      </c>
      <c r="U27" s="60">
        <f t="shared" si="40"/>
        <v>4474</v>
      </c>
      <c r="V27" s="60">
        <f t="shared" si="30"/>
        <v>2686</v>
      </c>
      <c r="W27" s="60">
        <f t="shared" si="31"/>
        <v>3221</v>
      </c>
      <c r="X27" s="60">
        <f t="shared" si="32"/>
        <v>4186</v>
      </c>
      <c r="Y27" s="60">
        <f t="shared" si="33"/>
        <v>4127</v>
      </c>
      <c r="Z27" s="60">
        <f t="shared" si="34"/>
        <v>6233</v>
      </c>
      <c r="AA27" s="60">
        <f t="shared" si="35"/>
        <v>6233</v>
      </c>
      <c r="AB27" s="60">
        <f t="shared" si="36"/>
        <v>36457</v>
      </c>
      <c r="AD27" s="21">
        <f t="shared" si="12"/>
        <v>1468</v>
      </c>
      <c r="AE27" s="21">
        <f t="shared" si="13"/>
        <v>938</v>
      </c>
      <c r="AF27" s="21">
        <f t="shared" si="14"/>
        <v>601</v>
      </c>
      <c r="AG27" s="21">
        <f t="shared" si="15"/>
        <v>840</v>
      </c>
      <c r="AH27" s="21">
        <f t="shared" si="16"/>
        <v>936</v>
      </c>
      <c r="AI27" s="21">
        <f t="shared" si="17"/>
        <v>528</v>
      </c>
      <c r="AJ27" s="21">
        <f t="shared" si="18"/>
        <v>3535</v>
      </c>
      <c r="AK27" s="21">
        <f t="shared" si="19"/>
        <v>3722</v>
      </c>
      <c r="AL27" s="21">
        <f t="shared" si="37"/>
        <v>12568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f t="shared" si="38"/>
        <v>0</v>
      </c>
    </row>
    <row r="28" spans="1:48" customFormat="1" x14ac:dyDescent="0.35">
      <c r="A28" s="57">
        <v>2034</v>
      </c>
      <c r="B28" s="58">
        <f t="shared" si="20"/>
        <v>3867</v>
      </c>
      <c r="C28" s="21">
        <f t="shared" si="21"/>
        <v>2796</v>
      </c>
      <c r="D28" s="21">
        <f t="shared" si="22"/>
        <v>2310</v>
      </c>
      <c r="E28" s="21">
        <f t="shared" si="23"/>
        <v>2593</v>
      </c>
      <c r="F28" s="21">
        <f t="shared" si="24"/>
        <v>3119</v>
      </c>
      <c r="G28" s="21">
        <f t="shared" si="25"/>
        <v>3879</v>
      </c>
      <c r="H28" s="21">
        <f t="shared" si="26"/>
        <v>5859</v>
      </c>
      <c r="I28" s="21">
        <f t="shared" si="27"/>
        <v>5610</v>
      </c>
      <c r="J28" s="21">
        <f t="shared" si="28"/>
        <v>30033</v>
      </c>
      <c r="K28" s="59">
        <f t="shared" si="4"/>
        <v>5525</v>
      </c>
      <c r="L28" s="60">
        <f t="shared" si="5"/>
        <v>4732</v>
      </c>
      <c r="M28" s="60">
        <f t="shared" si="6"/>
        <v>2790</v>
      </c>
      <c r="N28" s="60">
        <f t="shared" si="7"/>
        <v>3406</v>
      </c>
      <c r="O28" s="60">
        <f t="shared" si="8"/>
        <v>4345</v>
      </c>
      <c r="P28" s="60">
        <f t="shared" si="9"/>
        <v>4084</v>
      </c>
      <c r="Q28" s="60">
        <f t="shared" si="29"/>
        <v>6919</v>
      </c>
      <c r="R28" s="60">
        <f t="shared" si="10"/>
        <v>6919</v>
      </c>
      <c r="S28" s="21">
        <f t="shared" si="11"/>
        <v>38720</v>
      </c>
      <c r="T28" s="60">
        <f>ROUND(((K28) - ((K28)*$R$3)),0)-AN28</f>
        <v>4942</v>
      </c>
      <c r="U28" s="60">
        <f t="shared" si="40"/>
        <v>4155</v>
      </c>
      <c r="V28" s="60">
        <f t="shared" si="30"/>
        <v>2495</v>
      </c>
      <c r="W28" s="60">
        <f t="shared" si="31"/>
        <v>2991</v>
      </c>
      <c r="X28" s="60">
        <f t="shared" si="32"/>
        <v>3886</v>
      </c>
      <c r="Y28" s="60">
        <f t="shared" si="33"/>
        <v>3831</v>
      </c>
      <c r="Z28" s="60">
        <f t="shared" si="34"/>
        <v>5789</v>
      </c>
      <c r="AA28" s="60">
        <f t="shared" si="35"/>
        <v>5789</v>
      </c>
      <c r="AB28" s="60">
        <f t="shared" si="36"/>
        <v>33878</v>
      </c>
      <c r="AD28" s="21">
        <f t="shared" si="12"/>
        <v>1368</v>
      </c>
      <c r="AE28" s="21">
        <f t="shared" si="13"/>
        <v>871</v>
      </c>
      <c r="AF28" s="21">
        <f t="shared" si="14"/>
        <v>558</v>
      </c>
      <c r="AG28" s="21">
        <f t="shared" si="15"/>
        <v>780</v>
      </c>
      <c r="AH28" s="21">
        <f t="shared" si="16"/>
        <v>869</v>
      </c>
      <c r="AI28" s="21">
        <f t="shared" si="17"/>
        <v>490</v>
      </c>
      <c r="AJ28" s="21">
        <f t="shared" si="18"/>
        <v>3283</v>
      </c>
      <c r="AK28" s="21">
        <f t="shared" si="19"/>
        <v>3456</v>
      </c>
      <c r="AL28" s="21">
        <f t="shared" si="37"/>
        <v>11675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f t="shared" si="38"/>
        <v>0</v>
      </c>
    </row>
    <row r="29" spans="1:48" customFormat="1" x14ac:dyDescent="0.35">
      <c r="A29" s="57">
        <v>2035</v>
      </c>
      <c r="B29" s="58">
        <f t="shared" si="20"/>
        <v>3608</v>
      </c>
      <c r="C29" s="21">
        <f t="shared" si="21"/>
        <v>2597</v>
      </c>
      <c r="D29" s="21">
        <f t="shared" si="22"/>
        <v>2146</v>
      </c>
      <c r="E29" s="21">
        <f t="shared" si="23"/>
        <v>2408</v>
      </c>
      <c r="F29" s="21">
        <f t="shared" si="24"/>
        <v>2895</v>
      </c>
      <c r="G29" s="21">
        <f t="shared" si="25"/>
        <v>3601</v>
      </c>
      <c r="H29" s="21">
        <f t="shared" si="26"/>
        <v>5442</v>
      </c>
      <c r="I29" s="21">
        <f t="shared" si="27"/>
        <v>5210</v>
      </c>
      <c r="J29" s="21">
        <f t="shared" si="28"/>
        <v>27907</v>
      </c>
      <c r="K29" s="59">
        <f t="shared" si="4"/>
        <v>5147</v>
      </c>
      <c r="L29" s="60">
        <f t="shared" si="5"/>
        <v>4395</v>
      </c>
      <c r="M29" s="60">
        <f t="shared" si="6"/>
        <v>2589</v>
      </c>
      <c r="N29" s="60">
        <f t="shared" si="7"/>
        <v>3162</v>
      </c>
      <c r="O29" s="60">
        <f t="shared" si="8"/>
        <v>4036</v>
      </c>
      <c r="P29" s="60">
        <f t="shared" si="9"/>
        <v>3793</v>
      </c>
      <c r="Q29" s="60">
        <f t="shared" si="29"/>
        <v>6425</v>
      </c>
      <c r="R29" s="60">
        <f t="shared" si="10"/>
        <v>6425</v>
      </c>
      <c r="S29" s="21">
        <f t="shared" si="11"/>
        <v>35972</v>
      </c>
      <c r="T29" s="60">
        <f t="shared" si="39"/>
        <v>4604</v>
      </c>
      <c r="U29" s="60">
        <f t="shared" si="40"/>
        <v>3859</v>
      </c>
      <c r="V29" s="60">
        <f t="shared" si="30"/>
        <v>2316</v>
      </c>
      <c r="W29" s="60">
        <f t="shared" si="31"/>
        <v>2776</v>
      </c>
      <c r="X29" s="60">
        <f t="shared" si="32"/>
        <v>3610</v>
      </c>
      <c r="Y29" s="60">
        <f t="shared" si="33"/>
        <v>3558</v>
      </c>
      <c r="Z29" s="60">
        <f t="shared" si="34"/>
        <v>5376</v>
      </c>
      <c r="AA29" s="60">
        <f t="shared" si="35"/>
        <v>5376</v>
      </c>
      <c r="AB29" s="60">
        <f t="shared" si="36"/>
        <v>31475</v>
      </c>
      <c r="AD29" s="21">
        <f t="shared" si="12"/>
        <v>1274</v>
      </c>
      <c r="AE29" s="21">
        <f t="shared" si="13"/>
        <v>809</v>
      </c>
      <c r="AF29" s="21">
        <f t="shared" si="14"/>
        <v>518</v>
      </c>
      <c r="AG29" s="21">
        <f t="shared" si="15"/>
        <v>724</v>
      </c>
      <c r="AH29" s="21">
        <f t="shared" si="16"/>
        <v>807</v>
      </c>
      <c r="AI29" s="21">
        <f t="shared" si="17"/>
        <v>455</v>
      </c>
      <c r="AJ29" s="21">
        <f t="shared" si="18"/>
        <v>3049</v>
      </c>
      <c r="AK29" s="21">
        <f t="shared" si="19"/>
        <v>3210</v>
      </c>
      <c r="AL29" s="21">
        <f t="shared" si="37"/>
        <v>10846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f t="shared" si="38"/>
        <v>0</v>
      </c>
    </row>
    <row r="30" spans="1:48" customFormat="1" ht="15" thickBot="1" x14ac:dyDescent="0.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48" customFormat="1" ht="15" thickBot="1" x14ac:dyDescent="0.4">
      <c r="A31" s="50" t="s">
        <v>89</v>
      </c>
      <c r="B31" s="51"/>
      <c r="C31" s="51"/>
      <c r="D31" s="51"/>
      <c r="E31" s="51"/>
      <c r="F31" s="51"/>
      <c r="G31" s="51"/>
      <c r="H31" s="51"/>
      <c r="I31" s="51"/>
      <c r="J31" s="52"/>
      <c r="K31" s="3"/>
      <c r="L31" s="44" t="s">
        <v>90</v>
      </c>
      <c r="M31" s="45"/>
      <c r="N31" s="45"/>
      <c r="O31" s="45"/>
      <c r="P31" s="46"/>
    </row>
    <row r="32" spans="1:48" customFormat="1" x14ac:dyDescent="0.35">
      <c r="A32" s="14"/>
      <c r="B32" s="14" t="s">
        <v>91</v>
      </c>
      <c r="C32" s="14" t="s">
        <v>92</v>
      </c>
      <c r="D32" s="14" t="s">
        <v>93</v>
      </c>
      <c r="E32" s="14" t="s">
        <v>94</v>
      </c>
      <c r="F32" s="14" t="s">
        <v>95</v>
      </c>
      <c r="G32" s="14" t="s">
        <v>96</v>
      </c>
      <c r="H32" s="14" t="s">
        <v>97</v>
      </c>
      <c r="I32" s="14" t="s">
        <v>98</v>
      </c>
      <c r="J32" s="14" t="s">
        <v>99</v>
      </c>
      <c r="K32" s="3"/>
      <c r="L32" s="14"/>
      <c r="M32" s="14" t="s">
        <v>100</v>
      </c>
      <c r="N32" s="14" t="s">
        <v>101</v>
      </c>
      <c r="O32" s="14" t="s">
        <v>102</v>
      </c>
      <c r="P32" s="14" t="s">
        <v>103</v>
      </c>
    </row>
    <row r="33" spans="1:16" customFormat="1" x14ac:dyDescent="0.35">
      <c r="A33" s="61">
        <v>2026</v>
      </c>
      <c r="B33" s="21">
        <f t="shared" ref="B33:B41" si="41">SUM(C33:J33)</f>
        <v>10890</v>
      </c>
      <c r="C33" s="21">
        <f>T20-B21</f>
        <v>2455</v>
      </c>
      <c r="D33" s="21">
        <f t="shared" ref="D33:J41" si="42">U20-C21</f>
        <v>3759</v>
      </c>
      <c r="E33" s="21">
        <f t="shared" si="42"/>
        <v>570</v>
      </c>
      <c r="F33" s="21">
        <f t="shared" si="42"/>
        <v>830</v>
      </c>
      <c r="G33" s="21">
        <f t="shared" si="42"/>
        <v>1111</v>
      </c>
      <c r="H33" s="21">
        <f t="shared" si="42"/>
        <v>342</v>
      </c>
      <c r="I33" s="21">
        <f t="shared" si="42"/>
        <v>684</v>
      </c>
      <c r="J33" s="21">
        <f t="shared" si="42"/>
        <v>1139</v>
      </c>
      <c r="K33" s="3"/>
      <c r="L33" s="61">
        <v>2026</v>
      </c>
      <c r="M33" s="21">
        <f t="shared" ref="M33:M42" si="43">AA20+Z20</f>
        <v>22788</v>
      </c>
      <c r="N33" s="21">
        <f t="shared" ref="N33:N42" si="44">Y20+X20</f>
        <v>10051</v>
      </c>
      <c r="O33" s="21">
        <f t="shared" ref="O33:O42" si="45">W20+V20</f>
        <v>8326</v>
      </c>
      <c r="P33" s="21">
        <f t="shared" ref="P33:P42" si="46">U20+T20</f>
        <v>19119</v>
      </c>
    </row>
    <row r="34" spans="1:16" customFormat="1" x14ac:dyDescent="0.35">
      <c r="A34" s="61">
        <v>2027</v>
      </c>
      <c r="B34" s="21">
        <f t="shared" si="41"/>
        <v>9908</v>
      </c>
      <c r="C34" s="21">
        <f t="shared" ref="C34:C41" si="47">T21-B22</f>
        <v>2190</v>
      </c>
      <c r="D34" s="21">
        <f t="shared" si="42"/>
        <v>2802</v>
      </c>
      <c r="E34" s="21">
        <f t="shared" si="42"/>
        <v>364</v>
      </c>
      <c r="F34" s="21">
        <f t="shared" si="42"/>
        <v>805</v>
      </c>
      <c r="G34" s="21">
        <f t="shared" si="42"/>
        <v>1812</v>
      </c>
      <c r="H34" s="21">
        <f t="shared" si="42"/>
        <v>420</v>
      </c>
      <c r="I34" s="21">
        <f t="shared" si="42"/>
        <v>568</v>
      </c>
      <c r="J34" s="21">
        <f t="shared" si="42"/>
        <v>947</v>
      </c>
      <c r="K34" s="3"/>
      <c r="L34" s="61">
        <v>2027</v>
      </c>
      <c r="M34" s="21">
        <f t="shared" si="43"/>
        <v>18932</v>
      </c>
      <c r="N34" s="21">
        <f t="shared" si="44"/>
        <v>14108</v>
      </c>
      <c r="O34" s="21">
        <f t="shared" si="45"/>
        <v>6723</v>
      </c>
      <c r="P34" s="21">
        <f t="shared" si="46"/>
        <v>15584</v>
      </c>
    </row>
    <row r="35" spans="1:16" customFormat="1" x14ac:dyDescent="0.35">
      <c r="A35" s="61">
        <v>2028</v>
      </c>
      <c r="B35" s="21">
        <f t="shared" si="41"/>
        <v>8961</v>
      </c>
      <c r="C35" s="21">
        <f t="shared" si="47"/>
        <v>1761</v>
      </c>
      <c r="D35" s="21">
        <f t="shared" si="42"/>
        <v>2310</v>
      </c>
      <c r="E35" s="21">
        <f t="shared" si="42"/>
        <v>593</v>
      </c>
      <c r="F35" s="21">
        <f t="shared" si="42"/>
        <v>990</v>
      </c>
      <c r="G35" s="21">
        <f t="shared" si="42"/>
        <v>1505</v>
      </c>
      <c r="H35" s="21">
        <f t="shared" si="42"/>
        <v>349</v>
      </c>
      <c r="I35" s="21">
        <f t="shared" si="42"/>
        <v>545</v>
      </c>
      <c r="J35" s="21">
        <f t="shared" si="42"/>
        <v>908</v>
      </c>
      <c r="K35" s="3"/>
      <c r="L35" s="61">
        <v>2028</v>
      </c>
      <c r="M35" s="21">
        <f t="shared" si="43"/>
        <v>18170</v>
      </c>
      <c r="N35" s="21">
        <f t="shared" si="44"/>
        <v>11720</v>
      </c>
      <c r="O35" s="21">
        <f t="shared" si="45"/>
        <v>9309</v>
      </c>
      <c r="P35" s="21">
        <f t="shared" si="46"/>
        <v>12685</v>
      </c>
    </row>
    <row r="36" spans="1:16" customFormat="1" x14ac:dyDescent="0.35">
      <c r="A36" s="61">
        <v>2029</v>
      </c>
      <c r="B36" s="21">
        <f t="shared" si="41"/>
        <v>8545</v>
      </c>
      <c r="C36" s="21">
        <f t="shared" si="47"/>
        <v>1815</v>
      </c>
      <c r="D36" s="21">
        <f t="shared" si="42"/>
        <v>2295</v>
      </c>
      <c r="E36" s="21">
        <f t="shared" si="42"/>
        <v>493</v>
      </c>
      <c r="F36" s="21">
        <f t="shared" si="42"/>
        <v>822</v>
      </c>
      <c r="G36" s="21">
        <f t="shared" si="42"/>
        <v>1444</v>
      </c>
      <c r="H36" s="21">
        <f t="shared" si="42"/>
        <v>335</v>
      </c>
      <c r="I36" s="21">
        <f t="shared" si="42"/>
        <v>503</v>
      </c>
      <c r="J36" s="21">
        <f t="shared" si="42"/>
        <v>838</v>
      </c>
      <c r="K36" s="3"/>
      <c r="L36" s="61">
        <v>2029</v>
      </c>
      <c r="M36" s="21">
        <f t="shared" si="43"/>
        <v>16754</v>
      </c>
      <c r="N36" s="21">
        <f t="shared" si="44"/>
        <v>11248</v>
      </c>
      <c r="O36" s="21">
        <f t="shared" si="45"/>
        <v>7734</v>
      </c>
      <c r="P36" s="21">
        <f t="shared" si="46"/>
        <v>12842</v>
      </c>
    </row>
    <row r="37" spans="1:16" customFormat="1" x14ac:dyDescent="0.35">
      <c r="A37" s="61">
        <v>2030</v>
      </c>
      <c r="B37" s="21">
        <f t="shared" si="41"/>
        <v>7949</v>
      </c>
      <c r="C37" s="21">
        <f t="shared" si="47"/>
        <v>1713</v>
      </c>
      <c r="D37" s="21">
        <f t="shared" si="42"/>
        <v>2087</v>
      </c>
      <c r="E37" s="21">
        <f t="shared" si="42"/>
        <v>473</v>
      </c>
      <c r="F37" s="21">
        <f t="shared" si="42"/>
        <v>789</v>
      </c>
      <c r="G37" s="21">
        <f t="shared" si="42"/>
        <v>1332</v>
      </c>
      <c r="H37" s="21">
        <f t="shared" si="42"/>
        <v>309</v>
      </c>
      <c r="I37" s="21">
        <f t="shared" si="42"/>
        <v>467</v>
      </c>
      <c r="J37" s="21">
        <f t="shared" si="42"/>
        <v>779</v>
      </c>
      <c r="K37" s="3"/>
      <c r="L37" s="61">
        <v>2030</v>
      </c>
      <c r="M37" s="21">
        <f t="shared" si="43"/>
        <v>15572</v>
      </c>
      <c r="N37" s="21">
        <f t="shared" si="44"/>
        <v>10371</v>
      </c>
      <c r="O37" s="21">
        <f t="shared" si="45"/>
        <v>7423</v>
      </c>
      <c r="P37" s="21">
        <f t="shared" si="46"/>
        <v>11911</v>
      </c>
    </row>
    <row r="38" spans="1:16" customFormat="1" x14ac:dyDescent="0.35">
      <c r="A38" s="61">
        <v>2031</v>
      </c>
      <c r="B38" s="21">
        <f t="shared" si="41"/>
        <v>7422</v>
      </c>
      <c r="C38" s="21">
        <f t="shared" si="47"/>
        <v>1628</v>
      </c>
      <c r="D38" s="21">
        <f t="shared" si="42"/>
        <v>1948</v>
      </c>
      <c r="E38" s="21">
        <f t="shared" si="42"/>
        <v>436</v>
      </c>
      <c r="F38" s="21">
        <f t="shared" si="42"/>
        <v>728</v>
      </c>
      <c r="G38" s="21">
        <f t="shared" si="42"/>
        <v>1238</v>
      </c>
      <c r="H38" s="21">
        <f t="shared" si="42"/>
        <v>287</v>
      </c>
      <c r="I38" s="21">
        <f t="shared" si="42"/>
        <v>434</v>
      </c>
      <c r="J38" s="21">
        <f t="shared" si="42"/>
        <v>723</v>
      </c>
      <c r="K38" s="3"/>
      <c r="L38" s="61">
        <v>2031</v>
      </c>
      <c r="M38" s="21">
        <f t="shared" si="43"/>
        <v>14460</v>
      </c>
      <c r="N38" s="21">
        <f t="shared" si="44"/>
        <v>9640</v>
      </c>
      <c r="O38" s="21">
        <f t="shared" si="45"/>
        <v>6844</v>
      </c>
      <c r="P38" s="21">
        <f t="shared" si="46"/>
        <v>11222</v>
      </c>
    </row>
    <row r="39" spans="1:16" customFormat="1" x14ac:dyDescent="0.35">
      <c r="A39" s="61">
        <v>2032</v>
      </c>
      <c r="B39" s="21">
        <f t="shared" si="41"/>
        <v>6908</v>
      </c>
      <c r="C39" s="21">
        <f t="shared" si="47"/>
        <v>1529</v>
      </c>
      <c r="D39" s="21">
        <f t="shared" si="42"/>
        <v>1807</v>
      </c>
      <c r="E39" s="21">
        <f t="shared" si="42"/>
        <v>405</v>
      </c>
      <c r="F39" s="21">
        <f t="shared" si="42"/>
        <v>676</v>
      </c>
      <c r="G39" s="21">
        <f t="shared" si="42"/>
        <v>1150</v>
      </c>
      <c r="H39" s="21">
        <f t="shared" si="42"/>
        <v>267</v>
      </c>
      <c r="I39" s="21">
        <f t="shared" si="42"/>
        <v>403</v>
      </c>
      <c r="J39" s="21">
        <f t="shared" si="42"/>
        <v>671</v>
      </c>
      <c r="K39" s="3"/>
      <c r="L39" s="61">
        <v>2032</v>
      </c>
      <c r="M39" s="21">
        <f t="shared" si="43"/>
        <v>13426</v>
      </c>
      <c r="N39" s="21">
        <f t="shared" si="44"/>
        <v>8952</v>
      </c>
      <c r="O39" s="21">
        <f t="shared" si="45"/>
        <v>6361</v>
      </c>
      <c r="P39" s="21">
        <f t="shared" si="46"/>
        <v>10480</v>
      </c>
    </row>
    <row r="40" spans="1:16" customFormat="1" x14ac:dyDescent="0.35">
      <c r="A40" s="61">
        <v>2033</v>
      </c>
      <c r="B40" s="21">
        <f t="shared" si="41"/>
        <v>6424</v>
      </c>
      <c r="C40" s="21">
        <f t="shared" si="47"/>
        <v>1430</v>
      </c>
      <c r="D40" s="21">
        <f t="shared" si="42"/>
        <v>1678</v>
      </c>
      <c r="E40" s="21">
        <f t="shared" si="42"/>
        <v>376</v>
      </c>
      <c r="F40" s="21">
        <f t="shared" si="42"/>
        <v>628</v>
      </c>
      <c r="G40" s="21">
        <f t="shared" si="42"/>
        <v>1067</v>
      </c>
      <c r="H40" s="21">
        <f t="shared" si="42"/>
        <v>248</v>
      </c>
      <c r="I40" s="21">
        <f t="shared" si="42"/>
        <v>374</v>
      </c>
      <c r="J40" s="21">
        <f t="shared" si="42"/>
        <v>623</v>
      </c>
      <c r="K40" s="3"/>
      <c r="L40" s="61">
        <v>2033</v>
      </c>
      <c r="M40" s="21">
        <f t="shared" si="43"/>
        <v>12466</v>
      </c>
      <c r="N40" s="21">
        <f t="shared" si="44"/>
        <v>8313</v>
      </c>
      <c r="O40" s="21">
        <f t="shared" si="45"/>
        <v>5907</v>
      </c>
      <c r="P40" s="21">
        <f t="shared" si="46"/>
        <v>9771</v>
      </c>
    </row>
    <row r="41" spans="1:16" customFormat="1" x14ac:dyDescent="0.35">
      <c r="A41" s="61">
        <v>2034</v>
      </c>
      <c r="B41" s="21">
        <f t="shared" si="41"/>
        <v>5971</v>
      </c>
      <c r="C41" s="21">
        <f t="shared" si="47"/>
        <v>1334</v>
      </c>
      <c r="D41" s="21">
        <f t="shared" si="42"/>
        <v>1558</v>
      </c>
      <c r="E41" s="21">
        <f t="shared" si="42"/>
        <v>349</v>
      </c>
      <c r="F41" s="21">
        <f t="shared" si="42"/>
        <v>583</v>
      </c>
      <c r="G41" s="21">
        <f t="shared" si="42"/>
        <v>991</v>
      </c>
      <c r="H41" s="21">
        <f t="shared" si="42"/>
        <v>230</v>
      </c>
      <c r="I41" s="21">
        <f t="shared" si="42"/>
        <v>347</v>
      </c>
      <c r="J41" s="21">
        <f t="shared" si="42"/>
        <v>579</v>
      </c>
      <c r="L41" s="61">
        <v>2034</v>
      </c>
      <c r="M41" s="21">
        <f t="shared" si="43"/>
        <v>11578</v>
      </c>
      <c r="N41" s="21">
        <f t="shared" si="44"/>
        <v>7717</v>
      </c>
      <c r="O41" s="21">
        <f t="shared" si="45"/>
        <v>5486</v>
      </c>
      <c r="P41" s="21">
        <f t="shared" si="46"/>
        <v>9097</v>
      </c>
    </row>
    <row r="42" spans="1:16" customFormat="1" x14ac:dyDescent="0.35">
      <c r="A42" s="61">
        <v>2035</v>
      </c>
      <c r="B42" s="21" t="s">
        <v>104</v>
      </c>
      <c r="C42" s="21" t="s">
        <v>104</v>
      </c>
      <c r="D42" s="21" t="s">
        <v>104</v>
      </c>
      <c r="E42" s="21" t="s">
        <v>104</v>
      </c>
      <c r="F42" s="21" t="s">
        <v>104</v>
      </c>
      <c r="G42" s="21" t="s">
        <v>104</v>
      </c>
      <c r="H42" s="21" t="s">
        <v>104</v>
      </c>
      <c r="I42" s="21" t="s">
        <v>104</v>
      </c>
      <c r="J42" s="21" t="s">
        <v>104</v>
      </c>
      <c r="L42" s="61">
        <v>2035</v>
      </c>
      <c r="M42" s="21">
        <f t="shared" si="43"/>
        <v>10752</v>
      </c>
      <c r="N42" s="21">
        <f t="shared" si="44"/>
        <v>7168</v>
      </c>
      <c r="O42" s="21">
        <f t="shared" si="45"/>
        <v>5092</v>
      </c>
      <c r="P42" s="21">
        <f t="shared" si="46"/>
        <v>8463</v>
      </c>
    </row>
    <row r="43" spans="1:16" customFormat="1" x14ac:dyDescent="0.35">
      <c r="F43" s="3"/>
      <c r="G43" s="3"/>
      <c r="H43" s="3"/>
      <c r="I43" s="3"/>
      <c r="J43" s="3"/>
    </row>
    <row r="44" spans="1:16" customFormat="1" x14ac:dyDescent="0.35">
      <c r="A44" s="62" t="s">
        <v>105</v>
      </c>
      <c r="B44" s="62"/>
      <c r="C44" s="62"/>
      <c r="D44" s="3"/>
      <c r="E44" s="3"/>
      <c r="F44" s="3"/>
      <c r="G44" s="3"/>
      <c r="H44" s="3"/>
      <c r="I44" s="3"/>
      <c r="J44" s="3"/>
    </row>
    <row r="45" spans="1:16" customFormat="1" x14ac:dyDescent="0.35">
      <c r="A45" s="63"/>
      <c r="B45" s="14" t="s">
        <v>106</v>
      </c>
      <c r="C45" s="14" t="s">
        <v>107</v>
      </c>
      <c r="D45" s="3"/>
      <c r="E45" s="3"/>
      <c r="F45" s="3"/>
      <c r="G45" s="3"/>
      <c r="H45" s="3"/>
      <c r="I45" s="3"/>
      <c r="J45" s="3"/>
    </row>
    <row r="46" spans="1:16" customFormat="1" x14ac:dyDescent="0.35">
      <c r="A46" s="14" t="s">
        <v>108</v>
      </c>
      <c r="B46" s="21">
        <f>AVERAGE(C33:C41)</f>
        <v>1761.6666666666667</v>
      </c>
      <c r="C46" s="21">
        <f>AVERAGE(D33:D41)</f>
        <v>2249.3333333333335</v>
      </c>
      <c r="D46" s="3"/>
      <c r="E46" s="3"/>
      <c r="F46" s="3"/>
      <c r="G46" s="3"/>
      <c r="H46" s="3"/>
      <c r="I46" s="3"/>
      <c r="J46" s="3"/>
    </row>
    <row r="47" spans="1:16" customFormat="1" x14ac:dyDescent="0.35">
      <c r="A47" s="14" t="s">
        <v>109</v>
      </c>
      <c r="B47" s="21">
        <f>AVERAGE(E33:E41)</f>
        <v>451</v>
      </c>
      <c r="C47" s="21">
        <f>AVERAGE(F33:F41)</f>
        <v>761.22222222222217</v>
      </c>
      <c r="D47" s="3"/>
      <c r="E47" s="3"/>
      <c r="F47" s="3"/>
      <c r="G47" s="3"/>
      <c r="H47" s="3"/>
      <c r="I47" s="3"/>
      <c r="J47" s="3"/>
    </row>
    <row r="48" spans="1:16" customFormat="1" x14ac:dyDescent="0.35">
      <c r="A48" s="14" t="s">
        <v>110</v>
      </c>
      <c r="B48" s="21">
        <f>AVERAGE(G33:G41)</f>
        <v>1294.4444444444443</v>
      </c>
      <c r="C48" s="21">
        <f>AVERAGE(H33:H41)</f>
        <v>309.66666666666669</v>
      </c>
      <c r="D48" s="3"/>
      <c r="E48" s="3"/>
      <c r="F48" s="3"/>
      <c r="G48" s="3"/>
      <c r="H48" s="3"/>
      <c r="I48" s="3"/>
      <c r="J48" s="3"/>
    </row>
    <row r="49" spans="1:28" customFormat="1" x14ac:dyDescent="0.35">
      <c r="A49" s="14" t="s">
        <v>111</v>
      </c>
      <c r="B49" s="21">
        <f>AVERAGE(I33:I41)</f>
        <v>480.55555555555554</v>
      </c>
      <c r="C49" s="21">
        <f>AVERAGE(J33:J41)</f>
        <v>800.77777777777783</v>
      </c>
      <c r="D49" s="3"/>
      <c r="E49" s="3"/>
      <c r="F49" s="3"/>
      <c r="G49" s="3"/>
      <c r="H49" s="3"/>
      <c r="I49" s="3"/>
      <c r="J49" s="3"/>
    </row>
    <row r="50" spans="1:28" customFormat="1" x14ac:dyDescent="0.35">
      <c r="B50" s="3"/>
      <c r="C50" s="3"/>
      <c r="D50" s="3"/>
      <c r="E50" s="3"/>
      <c r="F50" s="3"/>
      <c r="G50" s="3"/>
      <c r="H50" s="3"/>
      <c r="I50" s="3"/>
      <c r="J50" s="3"/>
      <c r="T50" s="3"/>
      <c r="U50" s="3"/>
      <c r="V50" s="3"/>
      <c r="W50" s="3"/>
      <c r="X50" s="3"/>
      <c r="Y50" s="3"/>
      <c r="Z50" s="3"/>
      <c r="AA50" s="3"/>
      <c r="AB50" s="3"/>
    </row>
    <row r="51" spans="1:28" customFormat="1" x14ac:dyDescent="0.35">
      <c r="B51" s="3"/>
      <c r="C51" s="3"/>
      <c r="D51" s="3"/>
      <c r="E51" s="3"/>
      <c r="F51" s="3"/>
      <c r="G51" s="3"/>
      <c r="H51" s="3"/>
      <c r="I51" s="3"/>
      <c r="J51" s="3"/>
      <c r="T51" s="3"/>
      <c r="U51" s="3"/>
      <c r="V51" s="3"/>
      <c r="W51" s="3"/>
      <c r="X51" s="3"/>
      <c r="Y51" s="3"/>
      <c r="Z51" s="3"/>
      <c r="AA51" s="3"/>
      <c r="AB51" s="3"/>
    </row>
    <row r="52" spans="1:28" customFormat="1" x14ac:dyDescent="0.35">
      <c r="B52" s="3"/>
      <c r="C52" s="3"/>
      <c r="D52" s="3"/>
      <c r="E52" s="3"/>
      <c r="F52" s="3"/>
      <c r="G52" s="3"/>
      <c r="H52" s="3"/>
      <c r="I52" s="3"/>
      <c r="J52" s="3"/>
      <c r="T52" s="3"/>
      <c r="U52" s="3"/>
      <c r="V52" s="3"/>
      <c r="W52" s="3"/>
      <c r="X52" s="3"/>
      <c r="Y52" s="3"/>
      <c r="Z52" s="3"/>
      <c r="AA52" s="3"/>
      <c r="AB52" s="3"/>
    </row>
    <row r="53" spans="1:28" customFormat="1" x14ac:dyDescent="0.35">
      <c r="B53" s="3"/>
      <c r="C53" s="3"/>
      <c r="D53" s="3"/>
      <c r="E53" s="3"/>
      <c r="F53" s="3"/>
      <c r="G53" s="3"/>
      <c r="H53" s="3"/>
      <c r="I53" s="3"/>
      <c r="J53" s="3"/>
      <c r="T53" s="3"/>
      <c r="U53" s="3"/>
      <c r="V53" s="3"/>
      <c r="W53" s="3"/>
      <c r="X53" s="3"/>
      <c r="Y53" s="3"/>
      <c r="Z53" s="3"/>
      <c r="AA53" s="3"/>
      <c r="AB53" s="3"/>
    </row>
    <row r="54" spans="1:28" customFormat="1" x14ac:dyDescent="0.35">
      <c r="B54" s="3"/>
      <c r="C54" s="3"/>
      <c r="D54" s="3"/>
      <c r="E54" s="3"/>
      <c r="F54" s="3"/>
      <c r="G54" s="3"/>
      <c r="H54" s="3"/>
      <c r="I54" s="3"/>
      <c r="J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/>
    </row>
  </sheetData>
  <mergeCells count="16">
    <mergeCell ref="AN18:AV18"/>
    <mergeCell ref="A31:J31"/>
    <mergeCell ref="L31:P31"/>
    <mergeCell ref="A44:C44"/>
    <mergeCell ref="X1:Z1"/>
    <mergeCell ref="D4:E4"/>
    <mergeCell ref="B18:J18"/>
    <mergeCell ref="K18:S18"/>
    <mergeCell ref="T18:AB18"/>
    <mergeCell ref="AD18:AL18"/>
    <mergeCell ref="A1:B1"/>
    <mergeCell ref="D1:E1"/>
    <mergeCell ref="G1:H1"/>
    <mergeCell ref="J1:M1"/>
    <mergeCell ref="O1:R1"/>
    <mergeCell ref="T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4976F-38E0-4834-9D86-9DCB0FFAFE22}">
  <dimension ref="A1:AR21"/>
  <sheetViews>
    <sheetView tabSelected="1" zoomScale="63" workbookViewId="0">
      <selection activeCell="AS27" sqref="AS27"/>
    </sheetView>
  </sheetViews>
  <sheetFormatPr defaultRowHeight="14.5" x14ac:dyDescent="0.35"/>
  <sheetData>
    <row r="1" spans="1:44" s="68" customFormat="1" x14ac:dyDescent="0.35">
      <c r="A1" s="66" t="s">
        <v>20</v>
      </c>
      <c r="B1" s="66" t="s">
        <v>61</v>
      </c>
      <c r="C1" s="66" t="s">
        <v>62</v>
      </c>
      <c r="D1" s="66" t="s">
        <v>63</v>
      </c>
      <c r="E1" s="66" t="s">
        <v>64</v>
      </c>
      <c r="F1" s="66" t="s">
        <v>65</v>
      </c>
      <c r="G1" s="66" t="s">
        <v>66</v>
      </c>
      <c r="H1" s="66" t="s">
        <v>67</v>
      </c>
      <c r="I1" s="66" t="s">
        <v>68</v>
      </c>
      <c r="J1" s="66" t="s">
        <v>69</v>
      </c>
      <c r="K1" s="67" t="s">
        <v>70</v>
      </c>
      <c r="L1" s="67" t="s">
        <v>71</v>
      </c>
      <c r="M1" s="67" t="s">
        <v>72</v>
      </c>
      <c r="N1" s="67" t="s">
        <v>73</v>
      </c>
      <c r="O1" s="67" t="s">
        <v>74</v>
      </c>
      <c r="P1" s="67" t="s">
        <v>75</v>
      </c>
      <c r="Q1" s="67" t="s">
        <v>76</v>
      </c>
      <c r="R1" s="67" t="s">
        <v>77</v>
      </c>
      <c r="S1" s="66" t="s">
        <v>78</v>
      </c>
      <c r="T1" s="67" t="s">
        <v>79</v>
      </c>
      <c r="U1" s="67" t="s">
        <v>80</v>
      </c>
      <c r="V1" s="67" t="s">
        <v>81</v>
      </c>
      <c r="W1" s="67" t="s">
        <v>82</v>
      </c>
      <c r="X1" s="67" t="s">
        <v>83</v>
      </c>
      <c r="Y1" s="67" t="s">
        <v>84</v>
      </c>
      <c r="Z1" s="67" t="s">
        <v>85</v>
      </c>
      <c r="AA1" s="67" t="s">
        <v>86</v>
      </c>
      <c r="AB1" s="67" t="s">
        <v>87</v>
      </c>
      <c r="AC1" s="65" t="s">
        <v>91</v>
      </c>
      <c r="AD1" s="65" t="s">
        <v>92</v>
      </c>
      <c r="AE1" s="65" t="s">
        <v>93</v>
      </c>
      <c r="AF1" s="65" t="s">
        <v>94</v>
      </c>
      <c r="AG1" s="65" t="s">
        <v>95</v>
      </c>
      <c r="AH1" s="65" t="s">
        <v>96</v>
      </c>
      <c r="AI1" s="65" t="s">
        <v>97</v>
      </c>
      <c r="AJ1" s="65" t="s">
        <v>98</v>
      </c>
      <c r="AK1" s="65" t="s">
        <v>99</v>
      </c>
      <c r="AL1" s="65" t="s">
        <v>100</v>
      </c>
      <c r="AM1" s="65" t="s">
        <v>101</v>
      </c>
      <c r="AN1" s="65" t="s">
        <v>102</v>
      </c>
      <c r="AO1" s="65" t="s">
        <v>103</v>
      </c>
      <c r="AP1" s="69" t="s">
        <v>19</v>
      </c>
      <c r="AQ1" s="66" t="s">
        <v>7</v>
      </c>
      <c r="AR1" s="66" t="s">
        <v>122</v>
      </c>
    </row>
    <row r="2" spans="1:44" x14ac:dyDescent="0.35">
      <c r="A2" cm="1">
        <f t="array" ref="A2:AB11">'AcCountDeer(Initial)'!A20:AB29</f>
        <v>2026</v>
      </c>
      <c r="B2">
        <v>10406</v>
      </c>
      <c r="C2">
        <v>14172</v>
      </c>
      <c r="D2">
        <v>961</v>
      </c>
      <c r="E2">
        <v>1289</v>
      </c>
      <c r="F2">
        <v>5087</v>
      </c>
      <c r="G2">
        <v>6150</v>
      </c>
      <c r="H2">
        <v>6569</v>
      </c>
      <c r="I2">
        <v>8800</v>
      </c>
      <c r="J2">
        <v>53434</v>
      </c>
      <c r="K2">
        <v>10167</v>
      </c>
      <c r="L2">
        <v>13576</v>
      </c>
      <c r="M2">
        <v>4550</v>
      </c>
      <c r="N2">
        <v>5400</v>
      </c>
      <c r="O2">
        <v>4872</v>
      </c>
      <c r="P2">
        <v>6406</v>
      </c>
      <c r="Q2">
        <v>15821</v>
      </c>
      <c r="R2">
        <v>15821</v>
      </c>
      <c r="S2">
        <v>76613</v>
      </c>
      <c r="T2">
        <v>9094</v>
      </c>
      <c r="U2">
        <v>11921</v>
      </c>
      <c r="V2">
        <v>4070</v>
      </c>
      <c r="W2">
        <v>4742</v>
      </c>
      <c r="X2">
        <v>4358</v>
      </c>
      <c r="Y2">
        <v>6009</v>
      </c>
      <c r="Z2">
        <v>13237</v>
      </c>
      <c r="AA2">
        <v>13237</v>
      </c>
      <c r="AB2">
        <v>66668</v>
      </c>
      <c r="AC2" cm="1">
        <f t="array" ref="AC2:AK11">'AcCountDeer(Initial)'!B33:J42</f>
        <v>9179</v>
      </c>
      <c r="AD2">
        <v>2455</v>
      </c>
      <c r="AE2">
        <v>2980</v>
      </c>
      <c r="AF2">
        <v>570</v>
      </c>
      <c r="AG2">
        <v>616</v>
      </c>
      <c r="AH2">
        <v>741</v>
      </c>
      <c r="AI2">
        <v>361</v>
      </c>
      <c r="AJ2">
        <v>794</v>
      </c>
      <c r="AK2">
        <v>662</v>
      </c>
      <c r="AL2" cm="1">
        <f t="array" ref="AL2:AO11">'AcCountDeer(Initial)'!M33:P42</f>
        <v>26474</v>
      </c>
      <c r="AM2">
        <v>10367</v>
      </c>
      <c r="AN2">
        <v>8812</v>
      </c>
      <c r="AO2">
        <v>21015</v>
      </c>
      <c r="AP2" t="str" cm="1">
        <f t="array" ref="AP2:AP11">'AcCountDeer(Initial)'!Z3:Z12</f>
        <v>NA</v>
      </c>
      <c r="AQ2" t="str">
        <f>'AcCountDeer(Initial)'!B2</f>
        <v>Baldwin</v>
      </c>
      <c r="AR2" s="72" t="str">
        <f>'AcCountDeer(Initial)'!B8</f>
        <v>Baseline</v>
      </c>
    </row>
    <row r="3" spans="1:44" x14ac:dyDescent="0.35">
      <c r="A3">
        <v>2027</v>
      </c>
      <c r="B3">
        <v>6639</v>
      </c>
      <c r="C3">
        <v>8941</v>
      </c>
      <c r="D3">
        <v>3500</v>
      </c>
      <c r="E3">
        <v>4126</v>
      </c>
      <c r="F3">
        <v>3617</v>
      </c>
      <c r="G3">
        <v>5648</v>
      </c>
      <c r="H3">
        <v>12443</v>
      </c>
      <c r="I3">
        <v>12575</v>
      </c>
      <c r="J3">
        <v>57489</v>
      </c>
      <c r="K3">
        <v>9069</v>
      </c>
      <c r="L3">
        <v>11474</v>
      </c>
      <c r="M3">
        <v>3235</v>
      </c>
      <c r="N3">
        <v>4959</v>
      </c>
      <c r="O3">
        <v>9228</v>
      </c>
      <c r="P3">
        <v>9155</v>
      </c>
      <c r="Q3">
        <v>14062</v>
      </c>
      <c r="R3">
        <v>14062</v>
      </c>
      <c r="S3">
        <v>75244</v>
      </c>
      <c r="T3">
        <v>8112</v>
      </c>
      <c r="U3">
        <v>10075</v>
      </c>
      <c r="V3">
        <v>2893</v>
      </c>
      <c r="W3">
        <v>4354</v>
      </c>
      <c r="X3">
        <v>8254</v>
      </c>
      <c r="Y3">
        <v>8588</v>
      </c>
      <c r="Z3">
        <v>11765</v>
      </c>
      <c r="AA3">
        <v>11765</v>
      </c>
      <c r="AB3">
        <v>65806</v>
      </c>
      <c r="AC3">
        <v>8892</v>
      </c>
      <c r="AD3">
        <v>2190</v>
      </c>
      <c r="AE3">
        <v>2519</v>
      </c>
      <c r="AF3">
        <v>405</v>
      </c>
      <c r="AG3">
        <v>566</v>
      </c>
      <c r="AH3">
        <v>1403</v>
      </c>
      <c r="AI3">
        <v>515</v>
      </c>
      <c r="AJ3">
        <v>706</v>
      </c>
      <c r="AK3">
        <v>588</v>
      </c>
      <c r="AL3">
        <v>23530</v>
      </c>
      <c r="AM3">
        <v>16842</v>
      </c>
      <c r="AN3">
        <v>7247</v>
      </c>
      <c r="AO3">
        <v>18187</v>
      </c>
      <c r="AP3">
        <v>0.99</v>
      </c>
      <c r="AQ3" t="str">
        <f>$AQ$2</f>
        <v>Baldwin</v>
      </c>
      <c r="AR3" s="72" t="str">
        <f>$AR$2</f>
        <v>Baseline</v>
      </c>
    </row>
    <row r="4" spans="1:44" x14ac:dyDescent="0.35">
      <c r="A4">
        <v>2028</v>
      </c>
      <c r="B4">
        <v>5922</v>
      </c>
      <c r="C4">
        <v>7556</v>
      </c>
      <c r="D4">
        <v>2488</v>
      </c>
      <c r="E4">
        <v>3788</v>
      </c>
      <c r="F4">
        <v>6851</v>
      </c>
      <c r="G4">
        <v>8073</v>
      </c>
      <c r="H4">
        <v>11059</v>
      </c>
      <c r="I4">
        <v>11177</v>
      </c>
      <c r="J4">
        <v>56914</v>
      </c>
      <c r="K4">
        <v>7522</v>
      </c>
      <c r="L4">
        <v>9961</v>
      </c>
      <c r="M4">
        <v>6128</v>
      </c>
      <c r="N4">
        <v>7089</v>
      </c>
      <c r="O4">
        <v>8202</v>
      </c>
      <c r="P4">
        <v>8137</v>
      </c>
      <c r="Q4">
        <v>14454</v>
      </c>
      <c r="R4">
        <v>14454</v>
      </c>
      <c r="S4">
        <v>75947</v>
      </c>
      <c r="T4">
        <v>6728</v>
      </c>
      <c r="U4">
        <v>8746</v>
      </c>
      <c r="V4">
        <v>5481</v>
      </c>
      <c r="W4">
        <v>6225</v>
      </c>
      <c r="X4">
        <v>7336</v>
      </c>
      <c r="Y4">
        <v>7633</v>
      </c>
      <c r="Z4">
        <v>12093</v>
      </c>
      <c r="AA4">
        <v>12093</v>
      </c>
      <c r="AB4">
        <v>66335</v>
      </c>
      <c r="AC4">
        <v>8615</v>
      </c>
      <c r="AD4">
        <v>1817</v>
      </c>
      <c r="AE4">
        <v>2186</v>
      </c>
      <c r="AF4">
        <v>767</v>
      </c>
      <c r="AG4">
        <v>809</v>
      </c>
      <c r="AH4">
        <v>1247</v>
      </c>
      <c r="AI4">
        <v>458</v>
      </c>
      <c r="AJ4">
        <v>726</v>
      </c>
      <c r="AK4">
        <v>605</v>
      </c>
      <c r="AL4">
        <v>24186</v>
      </c>
      <c r="AM4">
        <v>14969</v>
      </c>
      <c r="AN4">
        <v>11706</v>
      </c>
      <c r="AO4">
        <v>15474</v>
      </c>
      <c r="AP4">
        <v>1.01</v>
      </c>
      <c r="AQ4" t="str">
        <f t="shared" ref="AQ4:AQ11" si="0">$AQ$2</f>
        <v>Baldwin</v>
      </c>
      <c r="AR4" s="72" t="str">
        <f t="shared" ref="AR4:AR11" si="1">$AR$2</f>
        <v>Baseline</v>
      </c>
    </row>
    <row r="5" spans="1:44" x14ac:dyDescent="0.35">
      <c r="A5">
        <v>2029</v>
      </c>
      <c r="B5">
        <v>4911</v>
      </c>
      <c r="C5">
        <v>6560</v>
      </c>
      <c r="D5">
        <v>4714</v>
      </c>
      <c r="E5">
        <v>5416</v>
      </c>
      <c r="F5">
        <v>6089</v>
      </c>
      <c r="G5">
        <v>7175</v>
      </c>
      <c r="H5">
        <v>11367</v>
      </c>
      <c r="I5">
        <v>11488</v>
      </c>
      <c r="J5">
        <v>57720</v>
      </c>
      <c r="K5">
        <v>8609</v>
      </c>
      <c r="L5">
        <v>10516</v>
      </c>
      <c r="M5">
        <v>5446</v>
      </c>
      <c r="N5">
        <v>6300</v>
      </c>
      <c r="O5">
        <v>8430</v>
      </c>
      <c r="P5">
        <v>8363</v>
      </c>
      <c r="Q5">
        <v>14289</v>
      </c>
      <c r="R5">
        <v>14289</v>
      </c>
      <c r="S5">
        <v>76242</v>
      </c>
      <c r="T5">
        <v>7700</v>
      </c>
      <c r="U5">
        <v>9234</v>
      </c>
      <c r="V5">
        <v>4871</v>
      </c>
      <c r="W5">
        <v>5532</v>
      </c>
      <c r="X5">
        <v>7540</v>
      </c>
      <c r="Y5">
        <v>7845</v>
      </c>
      <c r="Z5">
        <v>11955</v>
      </c>
      <c r="AA5">
        <v>11955</v>
      </c>
      <c r="AB5">
        <v>66632</v>
      </c>
      <c r="AC5">
        <v>8856</v>
      </c>
      <c r="AD5">
        <v>2079</v>
      </c>
      <c r="AE5">
        <v>2308</v>
      </c>
      <c r="AF5">
        <v>682</v>
      </c>
      <c r="AG5">
        <v>719</v>
      </c>
      <c r="AH5">
        <v>1282</v>
      </c>
      <c r="AI5">
        <v>471</v>
      </c>
      <c r="AJ5">
        <v>717</v>
      </c>
      <c r="AK5">
        <v>598</v>
      </c>
      <c r="AL5">
        <v>23910</v>
      </c>
      <c r="AM5">
        <v>15385</v>
      </c>
      <c r="AN5">
        <v>10403</v>
      </c>
      <c r="AO5">
        <v>16934</v>
      </c>
      <c r="AP5">
        <v>1</v>
      </c>
      <c r="AQ5" t="str">
        <f t="shared" si="0"/>
        <v>Baldwin</v>
      </c>
      <c r="AR5" s="72" t="str">
        <f t="shared" si="1"/>
        <v>Baseline</v>
      </c>
    </row>
    <row r="6" spans="1:44" x14ac:dyDescent="0.35">
      <c r="A6">
        <v>2030</v>
      </c>
      <c r="B6">
        <v>5621</v>
      </c>
      <c r="C6">
        <v>6926</v>
      </c>
      <c r="D6">
        <v>4189</v>
      </c>
      <c r="E6">
        <v>4813</v>
      </c>
      <c r="F6">
        <v>6258</v>
      </c>
      <c r="G6">
        <v>7374</v>
      </c>
      <c r="H6">
        <v>11238</v>
      </c>
      <c r="I6">
        <v>11357</v>
      </c>
      <c r="J6">
        <v>57776</v>
      </c>
      <c r="K6">
        <v>8774</v>
      </c>
      <c r="L6">
        <v>10308</v>
      </c>
      <c r="M6">
        <v>5597</v>
      </c>
      <c r="N6">
        <v>6475</v>
      </c>
      <c r="O6">
        <v>8334</v>
      </c>
      <c r="P6">
        <v>8268</v>
      </c>
      <c r="Q6">
        <v>14253</v>
      </c>
      <c r="R6">
        <v>14253</v>
      </c>
      <c r="S6">
        <v>76262</v>
      </c>
      <c r="T6">
        <v>7848</v>
      </c>
      <c r="U6">
        <v>9051</v>
      </c>
      <c r="V6">
        <v>5006</v>
      </c>
      <c r="W6">
        <v>5685</v>
      </c>
      <c r="X6">
        <v>7454</v>
      </c>
      <c r="Y6">
        <v>7756</v>
      </c>
      <c r="Z6">
        <v>11925</v>
      </c>
      <c r="AA6">
        <v>11925</v>
      </c>
      <c r="AB6">
        <v>66650</v>
      </c>
      <c r="AC6">
        <v>8865</v>
      </c>
      <c r="AD6">
        <v>2119</v>
      </c>
      <c r="AE6">
        <v>2263</v>
      </c>
      <c r="AF6">
        <v>701</v>
      </c>
      <c r="AG6">
        <v>739</v>
      </c>
      <c r="AH6">
        <v>1267</v>
      </c>
      <c r="AI6">
        <v>465</v>
      </c>
      <c r="AJ6">
        <v>715</v>
      </c>
      <c r="AK6">
        <v>596</v>
      </c>
      <c r="AL6">
        <v>23850</v>
      </c>
      <c r="AM6">
        <v>15210</v>
      </c>
      <c r="AN6">
        <v>10691</v>
      </c>
      <c r="AO6">
        <v>16899</v>
      </c>
      <c r="AP6">
        <v>1</v>
      </c>
      <c r="AQ6" t="str">
        <f t="shared" si="0"/>
        <v>Baldwin</v>
      </c>
      <c r="AR6" s="72" t="str">
        <f t="shared" si="1"/>
        <v>Baseline</v>
      </c>
    </row>
    <row r="7" spans="1:44" x14ac:dyDescent="0.35">
      <c r="A7">
        <v>2031</v>
      </c>
      <c r="B7">
        <v>5729</v>
      </c>
      <c r="C7">
        <v>6788</v>
      </c>
      <c r="D7">
        <v>4305</v>
      </c>
      <c r="E7">
        <v>4946</v>
      </c>
      <c r="F7">
        <v>6187</v>
      </c>
      <c r="G7">
        <v>7291</v>
      </c>
      <c r="H7">
        <v>11210</v>
      </c>
      <c r="I7">
        <v>11329</v>
      </c>
      <c r="J7">
        <v>57785</v>
      </c>
      <c r="K7">
        <v>8975</v>
      </c>
      <c r="L7">
        <v>10303</v>
      </c>
      <c r="M7">
        <v>5534</v>
      </c>
      <c r="N7">
        <v>6402</v>
      </c>
      <c r="O7">
        <v>8314</v>
      </c>
      <c r="P7">
        <v>8248</v>
      </c>
      <c r="Q7">
        <v>14189</v>
      </c>
      <c r="R7">
        <v>14189</v>
      </c>
      <c r="S7">
        <v>76154</v>
      </c>
      <c r="T7">
        <v>8027</v>
      </c>
      <c r="U7">
        <v>9047</v>
      </c>
      <c r="V7">
        <v>4950</v>
      </c>
      <c r="W7">
        <v>5621</v>
      </c>
      <c r="X7">
        <v>7436</v>
      </c>
      <c r="Y7">
        <v>7737</v>
      </c>
      <c r="Z7">
        <v>11871</v>
      </c>
      <c r="AA7">
        <v>11871</v>
      </c>
      <c r="AB7">
        <v>66560</v>
      </c>
      <c r="AC7">
        <v>8887</v>
      </c>
      <c r="AD7">
        <v>2167</v>
      </c>
      <c r="AE7">
        <v>2262</v>
      </c>
      <c r="AF7">
        <v>693</v>
      </c>
      <c r="AG7">
        <v>731</v>
      </c>
      <c r="AH7">
        <v>1264</v>
      </c>
      <c r="AI7">
        <v>464</v>
      </c>
      <c r="AJ7">
        <v>712</v>
      </c>
      <c r="AK7">
        <v>594</v>
      </c>
      <c r="AL7">
        <v>23742</v>
      </c>
      <c r="AM7">
        <v>15173</v>
      </c>
      <c r="AN7">
        <v>10571</v>
      </c>
      <c r="AO7">
        <v>17074</v>
      </c>
      <c r="AP7">
        <v>1</v>
      </c>
      <c r="AQ7" t="str">
        <f t="shared" si="0"/>
        <v>Baldwin</v>
      </c>
      <c r="AR7" s="72" t="str">
        <f t="shared" si="1"/>
        <v>Baseline</v>
      </c>
    </row>
    <row r="8" spans="1:44" x14ac:dyDescent="0.35">
      <c r="A8">
        <v>2032</v>
      </c>
      <c r="B8">
        <v>5860</v>
      </c>
      <c r="C8">
        <v>6785</v>
      </c>
      <c r="D8">
        <v>4257</v>
      </c>
      <c r="E8">
        <v>4890</v>
      </c>
      <c r="F8">
        <v>6172</v>
      </c>
      <c r="G8">
        <v>7273</v>
      </c>
      <c r="H8">
        <v>11159</v>
      </c>
      <c r="I8">
        <v>11277</v>
      </c>
      <c r="J8">
        <v>57673</v>
      </c>
      <c r="K8">
        <v>9049</v>
      </c>
      <c r="L8">
        <v>10251</v>
      </c>
      <c r="M8">
        <v>5520</v>
      </c>
      <c r="N8">
        <v>6386</v>
      </c>
      <c r="O8">
        <v>8276</v>
      </c>
      <c r="P8">
        <v>8210</v>
      </c>
      <c r="Q8">
        <v>14131</v>
      </c>
      <c r="R8">
        <v>14131</v>
      </c>
      <c r="S8">
        <v>75954</v>
      </c>
      <c r="T8">
        <v>8094</v>
      </c>
      <c r="U8">
        <v>9001</v>
      </c>
      <c r="V8">
        <v>4937</v>
      </c>
      <c r="W8">
        <v>5607</v>
      </c>
      <c r="X8">
        <v>7402</v>
      </c>
      <c r="Y8">
        <v>7702</v>
      </c>
      <c r="Z8">
        <v>11823</v>
      </c>
      <c r="AA8">
        <v>11823</v>
      </c>
      <c r="AB8">
        <v>66389</v>
      </c>
      <c r="AC8">
        <v>8875</v>
      </c>
      <c r="AD8">
        <v>2185</v>
      </c>
      <c r="AE8">
        <v>2250</v>
      </c>
      <c r="AF8">
        <v>691</v>
      </c>
      <c r="AG8">
        <v>729</v>
      </c>
      <c r="AH8">
        <v>1258</v>
      </c>
      <c r="AI8">
        <v>462</v>
      </c>
      <c r="AJ8">
        <v>709</v>
      </c>
      <c r="AK8">
        <v>591</v>
      </c>
      <c r="AL8">
        <v>23646</v>
      </c>
      <c r="AM8">
        <v>15104</v>
      </c>
      <c r="AN8">
        <v>10544</v>
      </c>
      <c r="AO8">
        <v>17095</v>
      </c>
      <c r="AP8">
        <v>1</v>
      </c>
      <c r="AQ8" t="str">
        <f t="shared" si="0"/>
        <v>Baldwin</v>
      </c>
      <c r="AR8" s="72" t="str">
        <f t="shared" si="1"/>
        <v>Baseline</v>
      </c>
    </row>
    <row r="9" spans="1:44" x14ac:dyDescent="0.35">
      <c r="A9">
        <v>2033</v>
      </c>
      <c r="B9">
        <v>5909</v>
      </c>
      <c r="C9">
        <v>6751</v>
      </c>
      <c r="D9">
        <v>4246</v>
      </c>
      <c r="E9">
        <v>4878</v>
      </c>
      <c r="F9">
        <v>6144</v>
      </c>
      <c r="G9">
        <v>7240</v>
      </c>
      <c r="H9">
        <v>11114</v>
      </c>
      <c r="I9">
        <v>11232</v>
      </c>
      <c r="J9">
        <v>57514</v>
      </c>
      <c r="K9">
        <v>9083</v>
      </c>
      <c r="L9">
        <v>10211</v>
      </c>
      <c r="M9">
        <v>5495</v>
      </c>
      <c r="N9">
        <v>6357</v>
      </c>
      <c r="O9">
        <v>8242</v>
      </c>
      <c r="P9">
        <v>8177</v>
      </c>
      <c r="Q9">
        <v>14072</v>
      </c>
      <c r="R9">
        <v>14072</v>
      </c>
      <c r="S9">
        <v>75709</v>
      </c>
      <c r="T9">
        <v>8124</v>
      </c>
      <c r="U9">
        <v>8966</v>
      </c>
      <c r="V9">
        <v>4915</v>
      </c>
      <c r="W9">
        <v>5582</v>
      </c>
      <c r="X9">
        <v>7372</v>
      </c>
      <c r="Y9">
        <v>7671</v>
      </c>
      <c r="Z9">
        <v>11773</v>
      </c>
      <c r="AA9">
        <v>11773</v>
      </c>
      <c r="AB9">
        <v>66176</v>
      </c>
      <c r="AC9">
        <v>8856</v>
      </c>
      <c r="AD9">
        <v>2193</v>
      </c>
      <c r="AE9">
        <v>2241</v>
      </c>
      <c r="AF9">
        <v>688</v>
      </c>
      <c r="AG9">
        <v>726</v>
      </c>
      <c r="AH9">
        <v>1253</v>
      </c>
      <c r="AI9">
        <v>460</v>
      </c>
      <c r="AJ9">
        <v>706</v>
      </c>
      <c r="AK9">
        <v>589</v>
      </c>
      <c r="AL9">
        <v>23546</v>
      </c>
      <c r="AM9">
        <v>15043</v>
      </c>
      <c r="AN9">
        <v>10497</v>
      </c>
      <c r="AO9">
        <v>17090</v>
      </c>
      <c r="AP9">
        <v>1</v>
      </c>
      <c r="AQ9" t="str">
        <f t="shared" si="0"/>
        <v>Baldwin</v>
      </c>
      <c r="AR9" s="72" t="str">
        <f t="shared" si="1"/>
        <v>Baseline</v>
      </c>
    </row>
    <row r="10" spans="1:44" x14ac:dyDescent="0.35">
      <c r="A10">
        <v>2034</v>
      </c>
      <c r="B10">
        <v>5931</v>
      </c>
      <c r="C10">
        <v>6725</v>
      </c>
      <c r="D10">
        <v>4227</v>
      </c>
      <c r="E10">
        <v>4856</v>
      </c>
      <c r="F10">
        <v>6119</v>
      </c>
      <c r="G10">
        <v>7211</v>
      </c>
      <c r="H10">
        <v>11067</v>
      </c>
      <c r="I10">
        <v>11184</v>
      </c>
      <c r="J10">
        <v>57320</v>
      </c>
      <c r="K10">
        <v>9086</v>
      </c>
      <c r="L10">
        <v>10169</v>
      </c>
      <c r="M10">
        <v>5473</v>
      </c>
      <c r="N10">
        <v>6332</v>
      </c>
      <c r="O10">
        <v>8208</v>
      </c>
      <c r="P10">
        <v>8142</v>
      </c>
      <c r="Q10">
        <v>14015</v>
      </c>
      <c r="R10">
        <v>14015</v>
      </c>
      <c r="S10">
        <v>75440</v>
      </c>
      <c r="T10">
        <v>8127</v>
      </c>
      <c r="U10">
        <v>8929</v>
      </c>
      <c r="V10">
        <v>4895</v>
      </c>
      <c r="W10">
        <v>5560</v>
      </c>
      <c r="X10">
        <v>7341</v>
      </c>
      <c r="Y10">
        <v>7638</v>
      </c>
      <c r="Z10">
        <v>11726</v>
      </c>
      <c r="AA10">
        <v>11726</v>
      </c>
      <c r="AB10">
        <v>65942</v>
      </c>
      <c r="AC10">
        <v>8830</v>
      </c>
      <c r="AD10">
        <v>2194</v>
      </c>
      <c r="AE10">
        <v>2232</v>
      </c>
      <c r="AF10">
        <v>685</v>
      </c>
      <c r="AG10">
        <v>723</v>
      </c>
      <c r="AH10">
        <v>1248</v>
      </c>
      <c r="AI10">
        <v>458</v>
      </c>
      <c r="AJ10">
        <v>704</v>
      </c>
      <c r="AK10">
        <v>586</v>
      </c>
      <c r="AL10">
        <v>23452</v>
      </c>
      <c r="AM10">
        <v>14979</v>
      </c>
      <c r="AN10">
        <v>10455</v>
      </c>
      <c r="AO10">
        <v>17056</v>
      </c>
      <c r="AP10">
        <v>1</v>
      </c>
      <c r="AQ10" t="str">
        <f t="shared" si="0"/>
        <v>Baldwin</v>
      </c>
      <c r="AR10" s="72" t="str">
        <f t="shared" si="1"/>
        <v>Baseline</v>
      </c>
    </row>
    <row r="11" spans="1:44" x14ac:dyDescent="0.35">
      <c r="A11">
        <v>2035</v>
      </c>
      <c r="B11">
        <v>5933</v>
      </c>
      <c r="C11">
        <v>6697</v>
      </c>
      <c r="D11">
        <v>4210</v>
      </c>
      <c r="E11">
        <v>4837</v>
      </c>
      <c r="F11">
        <v>6093</v>
      </c>
      <c r="G11">
        <v>7180</v>
      </c>
      <c r="H11">
        <v>11022</v>
      </c>
      <c r="I11">
        <v>11140</v>
      </c>
      <c r="J11">
        <v>57112</v>
      </c>
      <c r="K11">
        <v>9072</v>
      </c>
      <c r="L11">
        <v>10128</v>
      </c>
      <c r="M11">
        <v>5450</v>
      </c>
      <c r="N11">
        <v>6305</v>
      </c>
      <c r="O11">
        <v>8174</v>
      </c>
      <c r="P11">
        <v>8110</v>
      </c>
      <c r="Q11">
        <v>13957</v>
      </c>
      <c r="R11">
        <v>13957</v>
      </c>
      <c r="S11">
        <v>75153</v>
      </c>
      <c r="T11">
        <v>8114</v>
      </c>
      <c r="U11">
        <v>8893</v>
      </c>
      <c r="V11">
        <v>4875</v>
      </c>
      <c r="W11">
        <v>5536</v>
      </c>
      <c r="X11">
        <v>7311</v>
      </c>
      <c r="Y11">
        <v>7608</v>
      </c>
      <c r="Z11">
        <v>11677</v>
      </c>
      <c r="AA11">
        <v>11677</v>
      </c>
      <c r="AB11">
        <v>65691</v>
      </c>
      <c r="AC11" t="str">
        <v>na</v>
      </c>
      <c r="AD11" t="str">
        <v>na</v>
      </c>
      <c r="AE11" t="str">
        <v>na</v>
      </c>
      <c r="AF11" t="str">
        <v>na</v>
      </c>
      <c r="AG11" t="str">
        <v>na</v>
      </c>
      <c r="AH11" t="str">
        <v>na</v>
      </c>
      <c r="AI11" t="str">
        <v>na</v>
      </c>
      <c r="AJ11" t="str">
        <v>na</v>
      </c>
      <c r="AK11" t="str">
        <v>na</v>
      </c>
      <c r="AL11">
        <v>23354</v>
      </c>
      <c r="AM11">
        <v>14919</v>
      </c>
      <c r="AN11">
        <v>10411</v>
      </c>
      <c r="AO11">
        <v>17007</v>
      </c>
      <c r="AP11">
        <v>1</v>
      </c>
      <c r="AQ11" t="str">
        <f t="shared" si="0"/>
        <v>Baldwin</v>
      </c>
      <c r="AR11" s="72" t="str">
        <f t="shared" si="1"/>
        <v>Baseline</v>
      </c>
    </row>
    <row r="12" spans="1:44" x14ac:dyDescent="0.35">
      <c r="A12" cm="1">
        <f t="array" ref="A12:AB21">'AcCountDeer(Trial1)'!A20:AB29</f>
        <v>2026</v>
      </c>
      <c r="B12">
        <v>10406</v>
      </c>
      <c r="C12">
        <v>11810</v>
      </c>
      <c r="D12">
        <v>961</v>
      </c>
      <c r="E12">
        <v>1193</v>
      </c>
      <c r="F12">
        <v>5087</v>
      </c>
      <c r="G12">
        <v>5520</v>
      </c>
      <c r="H12">
        <v>6569</v>
      </c>
      <c r="I12">
        <v>8337</v>
      </c>
      <c r="J12">
        <v>49883</v>
      </c>
      <c r="K12">
        <v>10167</v>
      </c>
      <c r="L12">
        <v>11417</v>
      </c>
      <c r="M12">
        <v>4550</v>
      </c>
      <c r="N12">
        <v>4847</v>
      </c>
      <c r="O12">
        <v>4872</v>
      </c>
      <c r="P12">
        <v>6069</v>
      </c>
      <c r="Q12">
        <v>13618</v>
      </c>
      <c r="R12">
        <v>13618</v>
      </c>
      <c r="S12">
        <v>69158</v>
      </c>
      <c r="T12">
        <v>9094</v>
      </c>
      <c r="U12">
        <v>10025</v>
      </c>
      <c r="V12">
        <v>4070</v>
      </c>
      <c r="W12">
        <v>4256</v>
      </c>
      <c r="X12">
        <v>4358</v>
      </c>
      <c r="Y12">
        <v>5693</v>
      </c>
      <c r="Z12">
        <v>11394</v>
      </c>
      <c r="AA12">
        <v>11394</v>
      </c>
      <c r="AB12">
        <v>60284</v>
      </c>
      <c r="AC12" cm="1">
        <f t="array" ref="AC12:AK21">'AcCountDeer(Trial1)'!B33:J42</f>
        <v>10890</v>
      </c>
      <c r="AD12">
        <v>2455</v>
      </c>
      <c r="AE12">
        <v>3759</v>
      </c>
      <c r="AF12">
        <v>570</v>
      </c>
      <c r="AG12">
        <v>830</v>
      </c>
      <c r="AH12">
        <v>1111</v>
      </c>
      <c r="AI12">
        <v>342</v>
      </c>
      <c r="AJ12">
        <v>684</v>
      </c>
      <c r="AK12">
        <v>1139</v>
      </c>
      <c r="AL12" cm="1">
        <f t="array" ref="AL12:AO21">'AcCountDeer(Trial1)'!M33:P42</f>
        <v>22788</v>
      </c>
      <c r="AM12">
        <v>10051</v>
      </c>
      <c r="AN12">
        <v>8326</v>
      </c>
      <c r="AO12">
        <v>19119</v>
      </c>
      <c r="AP12" t="str" cm="1">
        <f t="array" ref="AP12:AP21">'AcCountDeer(Trial1)'!Z3:Z12</f>
        <v>NA</v>
      </c>
      <c r="AQ12" t="str">
        <f>'AcCountDeer(Trial1)'!B2</f>
        <v>Baldwin</v>
      </c>
      <c r="AR12" s="72" t="str">
        <f>'AcCountDeer(Trial1)'!B8</f>
        <v>Increased Harvest</v>
      </c>
    </row>
    <row r="13" spans="1:44" x14ac:dyDescent="0.35">
      <c r="A13">
        <v>2027</v>
      </c>
      <c r="B13">
        <v>6639</v>
      </c>
      <c r="C13">
        <v>6266</v>
      </c>
      <c r="D13">
        <v>3500</v>
      </c>
      <c r="E13">
        <v>3426</v>
      </c>
      <c r="F13">
        <v>3247</v>
      </c>
      <c r="G13">
        <v>5351</v>
      </c>
      <c r="H13">
        <v>10710</v>
      </c>
      <c r="I13">
        <v>10255</v>
      </c>
      <c r="J13">
        <v>49394</v>
      </c>
      <c r="K13">
        <v>9069</v>
      </c>
      <c r="L13">
        <v>8510</v>
      </c>
      <c r="M13">
        <v>2904</v>
      </c>
      <c r="N13">
        <v>4699</v>
      </c>
      <c r="O13">
        <v>7943</v>
      </c>
      <c r="P13">
        <v>7466</v>
      </c>
      <c r="Q13">
        <v>11314</v>
      </c>
      <c r="R13">
        <v>11314</v>
      </c>
      <c r="S13">
        <v>63219</v>
      </c>
      <c r="T13">
        <v>8112</v>
      </c>
      <c r="U13">
        <v>7472</v>
      </c>
      <c r="V13">
        <v>2597</v>
      </c>
      <c r="W13">
        <v>4126</v>
      </c>
      <c r="X13">
        <v>7104</v>
      </c>
      <c r="Y13">
        <v>7004</v>
      </c>
      <c r="Z13">
        <v>9466</v>
      </c>
      <c r="AA13">
        <v>9466</v>
      </c>
      <c r="AB13">
        <v>55347</v>
      </c>
      <c r="AC13">
        <v>9908</v>
      </c>
      <c r="AD13">
        <v>2190</v>
      </c>
      <c r="AE13">
        <v>2802</v>
      </c>
      <c r="AF13">
        <v>364</v>
      </c>
      <c r="AG13">
        <v>805</v>
      </c>
      <c r="AH13">
        <v>1812</v>
      </c>
      <c r="AI13">
        <v>420</v>
      </c>
      <c r="AJ13">
        <v>568</v>
      </c>
      <c r="AK13">
        <v>947</v>
      </c>
      <c r="AL13">
        <v>18932</v>
      </c>
      <c r="AM13">
        <v>14108</v>
      </c>
      <c r="AN13">
        <v>6723</v>
      </c>
      <c r="AO13">
        <v>15584</v>
      </c>
      <c r="AP13">
        <v>0.92</v>
      </c>
      <c r="AQ13" t="str">
        <f>$AQ$12</f>
        <v>Baldwin</v>
      </c>
      <c r="AR13" s="72" t="str">
        <f>$AR$12</f>
        <v>Increased Harvest</v>
      </c>
    </row>
    <row r="14" spans="1:44" x14ac:dyDescent="0.35">
      <c r="A14">
        <v>2028</v>
      </c>
      <c r="B14">
        <v>5922</v>
      </c>
      <c r="C14">
        <v>4670</v>
      </c>
      <c r="D14">
        <v>2233</v>
      </c>
      <c r="E14">
        <v>3321</v>
      </c>
      <c r="F14">
        <v>5292</v>
      </c>
      <c r="G14">
        <v>6584</v>
      </c>
      <c r="H14">
        <v>8898</v>
      </c>
      <c r="I14">
        <v>8519</v>
      </c>
      <c r="J14">
        <v>45439</v>
      </c>
      <c r="K14">
        <v>7294</v>
      </c>
      <c r="L14">
        <v>7017</v>
      </c>
      <c r="M14">
        <v>4733</v>
      </c>
      <c r="N14">
        <v>5781</v>
      </c>
      <c r="O14">
        <v>6599</v>
      </c>
      <c r="P14">
        <v>6202</v>
      </c>
      <c r="Q14">
        <v>10859</v>
      </c>
      <c r="R14">
        <v>10859</v>
      </c>
      <c r="S14">
        <v>59344</v>
      </c>
      <c r="T14">
        <v>6524</v>
      </c>
      <c r="U14">
        <v>6161</v>
      </c>
      <c r="V14">
        <v>4233</v>
      </c>
      <c r="W14">
        <v>5076</v>
      </c>
      <c r="X14">
        <v>5902</v>
      </c>
      <c r="Y14">
        <v>5818</v>
      </c>
      <c r="Z14">
        <v>9085</v>
      </c>
      <c r="AA14">
        <v>9085</v>
      </c>
      <c r="AB14">
        <v>51884</v>
      </c>
      <c r="AC14">
        <v>8961</v>
      </c>
      <c r="AD14">
        <v>1761</v>
      </c>
      <c r="AE14">
        <v>2310</v>
      </c>
      <c r="AF14">
        <v>593</v>
      </c>
      <c r="AG14">
        <v>990</v>
      </c>
      <c r="AH14">
        <v>1505</v>
      </c>
      <c r="AI14">
        <v>349</v>
      </c>
      <c r="AJ14">
        <v>545</v>
      </c>
      <c r="AK14">
        <v>908</v>
      </c>
      <c r="AL14">
        <v>18170</v>
      </c>
      <c r="AM14">
        <v>11720</v>
      </c>
      <c r="AN14">
        <v>9309</v>
      </c>
      <c r="AO14">
        <v>12685</v>
      </c>
      <c r="AP14">
        <v>0.94</v>
      </c>
      <c r="AQ14" t="str">
        <f t="shared" ref="AQ14:AR21" si="2">$AQ$12</f>
        <v>Baldwin</v>
      </c>
      <c r="AR14" s="72" t="str">
        <f t="shared" ref="AR14:AR21" si="3">$AR$12</f>
        <v>Increased Harvest</v>
      </c>
    </row>
    <row r="15" spans="1:44" x14ac:dyDescent="0.35">
      <c r="A15">
        <v>2029</v>
      </c>
      <c r="B15">
        <v>4763</v>
      </c>
      <c r="C15">
        <v>3851</v>
      </c>
      <c r="D15">
        <v>3640</v>
      </c>
      <c r="E15">
        <v>4086</v>
      </c>
      <c r="F15">
        <v>4397</v>
      </c>
      <c r="G15">
        <v>5469</v>
      </c>
      <c r="H15">
        <v>8540</v>
      </c>
      <c r="I15">
        <v>8177</v>
      </c>
      <c r="J15">
        <v>42923</v>
      </c>
      <c r="K15">
        <v>7516</v>
      </c>
      <c r="L15">
        <v>6969</v>
      </c>
      <c r="M15">
        <v>3933</v>
      </c>
      <c r="N15">
        <v>4802</v>
      </c>
      <c r="O15">
        <v>6333</v>
      </c>
      <c r="P15">
        <v>5953</v>
      </c>
      <c r="Q15">
        <v>10012</v>
      </c>
      <c r="R15">
        <v>10012</v>
      </c>
      <c r="S15">
        <v>55530</v>
      </c>
      <c r="T15">
        <v>6723</v>
      </c>
      <c r="U15">
        <v>6119</v>
      </c>
      <c r="V15">
        <v>3518</v>
      </c>
      <c r="W15">
        <v>4216</v>
      </c>
      <c r="X15">
        <v>5664</v>
      </c>
      <c r="Y15">
        <v>5584</v>
      </c>
      <c r="Z15">
        <v>8377</v>
      </c>
      <c r="AA15">
        <v>8377</v>
      </c>
      <c r="AB15">
        <v>48578</v>
      </c>
      <c r="AC15">
        <v>8545</v>
      </c>
      <c r="AD15">
        <v>1815</v>
      </c>
      <c r="AE15">
        <v>2295</v>
      </c>
      <c r="AF15">
        <v>493</v>
      </c>
      <c r="AG15">
        <v>822</v>
      </c>
      <c r="AH15">
        <v>1444</v>
      </c>
      <c r="AI15">
        <v>335</v>
      </c>
      <c r="AJ15">
        <v>503</v>
      </c>
      <c r="AK15">
        <v>838</v>
      </c>
      <c r="AL15">
        <v>16754</v>
      </c>
      <c r="AM15">
        <v>11248</v>
      </c>
      <c r="AN15">
        <v>7734</v>
      </c>
      <c r="AO15">
        <v>12842</v>
      </c>
      <c r="AP15">
        <v>0.94</v>
      </c>
      <c r="AQ15" t="str">
        <f t="shared" si="2"/>
        <v>Baldwin</v>
      </c>
      <c r="AR15" s="72" t="str">
        <f t="shared" si="3"/>
        <v>Increased Harvest</v>
      </c>
    </row>
    <row r="16" spans="1:44" x14ac:dyDescent="0.35">
      <c r="A16">
        <v>2030</v>
      </c>
      <c r="B16">
        <v>4908</v>
      </c>
      <c r="C16">
        <v>3824</v>
      </c>
      <c r="D16">
        <v>3025</v>
      </c>
      <c r="E16">
        <v>3394</v>
      </c>
      <c r="F16">
        <v>4220</v>
      </c>
      <c r="G16">
        <v>5249</v>
      </c>
      <c r="H16">
        <v>7874</v>
      </c>
      <c r="I16">
        <v>7539</v>
      </c>
      <c r="J16">
        <v>40033</v>
      </c>
      <c r="K16">
        <v>7095</v>
      </c>
      <c r="L16">
        <v>6338</v>
      </c>
      <c r="M16">
        <v>3774</v>
      </c>
      <c r="N16">
        <v>4609</v>
      </c>
      <c r="O16">
        <v>5840</v>
      </c>
      <c r="P16">
        <v>5488</v>
      </c>
      <c r="Q16">
        <v>9306</v>
      </c>
      <c r="R16">
        <v>9306</v>
      </c>
      <c r="S16">
        <v>51756</v>
      </c>
      <c r="T16">
        <v>6346</v>
      </c>
      <c r="U16">
        <v>5565</v>
      </c>
      <c r="V16">
        <v>3376</v>
      </c>
      <c r="W16">
        <v>4047</v>
      </c>
      <c r="X16">
        <v>5223</v>
      </c>
      <c r="Y16">
        <v>5148</v>
      </c>
      <c r="Z16">
        <v>7786</v>
      </c>
      <c r="AA16">
        <v>7786</v>
      </c>
      <c r="AB16">
        <v>45277</v>
      </c>
      <c r="AC16">
        <v>7949</v>
      </c>
      <c r="AD16">
        <v>1713</v>
      </c>
      <c r="AE16">
        <v>2087</v>
      </c>
      <c r="AF16">
        <v>473</v>
      </c>
      <c r="AG16">
        <v>789</v>
      </c>
      <c r="AH16">
        <v>1332</v>
      </c>
      <c r="AI16">
        <v>309</v>
      </c>
      <c r="AJ16">
        <v>467</v>
      </c>
      <c r="AK16">
        <v>779</v>
      </c>
      <c r="AL16">
        <v>15572</v>
      </c>
      <c r="AM16">
        <v>10371</v>
      </c>
      <c r="AN16">
        <v>7423</v>
      </c>
      <c r="AO16">
        <v>11911</v>
      </c>
      <c r="AP16">
        <v>0.93</v>
      </c>
      <c r="AQ16" t="str">
        <f t="shared" si="2"/>
        <v>Baldwin</v>
      </c>
      <c r="AR16" s="72" t="str">
        <f t="shared" si="3"/>
        <v>Increased Harvest</v>
      </c>
    </row>
    <row r="17" spans="1:44" x14ac:dyDescent="0.35">
      <c r="A17">
        <v>2031</v>
      </c>
      <c r="B17">
        <v>4633</v>
      </c>
      <c r="C17">
        <v>3478</v>
      </c>
      <c r="D17">
        <v>2903</v>
      </c>
      <c r="E17">
        <v>3258</v>
      </c>
      <c r="F17">
        <v>3891</v>
      </c>
      <c r="G17">
        <v>4839</v>
      </c>
      <c r="H17">
        <v>7319</v>
      </c>
      <c r="I17">
        <v>7007</v>
      </c>
      <c r="J17">
        <v>37328</v>
      </c>
      <c r="K17">
        <v>6740</v>
      </c>
      <c r="L17">
        <v>5915</v>
      </c>
      <c r="M17">
        <v>3480</v>
      </c>
      <c r="N17">
        <v>4249</v>
      </c>
      <c r="O17">
        <v>5428</v>
      </c>
      <c r="P17">
        <v>5101</v>
      </c>
      <c r="Q17">
        <v>8641</v>
      </c>
      <c r="R17">
        <v>8641</v>
      </c>
      <c r="S17">
        <v>48195</v>
      </c>
      <c r="T17">
        <v>6028</v>
      </c>
      <c r="U17">
        <v>5194</v>
      </c>
      <c r="V17">
        <v>3113</v>
      </c>
      <c r="W17">
        <v>3731</v>
      </c>
      <c r="X17">
        <v>4855</v>
      </c>
      <c r="Y17">
        <v>4785</v>
      </c>
      <c r="Z17">
        <v>7230</v>
      </c>
      <c r="AA17">
        <v>7230</v>
      </c>
      <c r="AB17">
        <v>42166</v>
      </c>
      <c r="AC17">
        <v>7422</v>
      </c>
      <c r="AD17">
        <v>1628</v>
      </c>
      <c r="AE17">
        <v>1948</v>
      </c>
      <c r="AF17">
        <v>436</v>
      </c>
      <c r="AG17">
        <v>728</v>
      </c>
      <c r="AH17">
        <v>1238</v>
      </c>
      <c r="AI17">
        <v>287</v>
      </c>
      <c r="AJ17">
        <v>434</v>
      </c>
      <c r="AK17">
        <v>723</v>
      </c>
      <c r="AL17">
        <v>14460</v>
      </c>
      <c r="AM17">
        <v>9640</v>
      </c>
      <c r="AN17">
        <v>6844</v>
      </c>
      <c r="AO17">
        <v>11222</v>
      </c>
      <c r="AP17">
        <v>0.93</v>
      </c>
      <c r="AQ17" t="str">
        <f t="shared" si="2"/>
        <v>Baldwin</v>
      </c>
      <c r="AR17" s="72" t="str">
        <f t="shared" si="3"/>
        <v>Increased Harvest</v>
      </c>
    </row>
    <row r="18" spans="1:44" x14ac:dyDescent="0.35">
      <c r="A18">
        <v>2032</v>
      </c>
      <c r="B18">
        <v>4400</v>
      </c>
      <c r="C18">
        <v>3246</v>
      </c>
      <c r="D18">
        <v>2677</v>
      </c>
      <c r="E18">
        <v>3003</v>
      </c>
      <c r="F18">
        <v>3617</v>
      </c>
      <c r="G18">
        <v>4498</v>
      </c>
      <c r="H18">
        <v>6796</v>
      </c>
      <c r="I18">
        <v>6507</v>
      </c>
      <c r="J18">
        <v>34744</v>
      </c>
      <c r="K18">
        <v>6330</v>
      </c>
      <c r="L18">
        <v>5487</v>
      </c>
      <c r="M18">
        <v>3235</v>
      </c>
      <c r="N18">
        <v>3950</v>
      </c>
      <c r="O18">
        <v>5040</v>
      </c>
      <c r="P18">
        <v>4737</v>
      </c>
      <c r="Q18">
        <v>8023</v>
      </c>
      <c r="R18">
        <v>8023</v>
      </c>
      <c r="S18">
        <v>44825</v>
      </c>
      <c r="T18">
        <v>5662</v>
      </c>
      <c r="U18">
        <v>4818</v>
      </c>
      <c r="V18">
        <v>2893</v>
      </c>
      <c r="W18">
        <v>3468</v>
      </c>
      <c r="X18">
        <v>4508</v>
      </c>
      <c r="Y18">
        <v>4444</v>
      </c>
      <c r="Z18">
        <v>6713</v>
      </c>
      <c r="AA18">
        <v>6713</v>
      </c>
      <c r="AB18">
        <v>39219</v>
      </c>
      <c r="AC18">
        <v>6908</v>
      </c>
      <c r="AD18">
        <v>1529</v>
      </c>
      <c r="AE18">
        <v>1807</v>
      </c>
      <c r="AF18">
        <v>405</v>
      </c>
      <c r="AG18">
        <v>676</v>
      </c>
      <c r="AH18">
        <v>1150</v>
      </c>
      <c r="AI18">
        <v>267</v>
      </c>
      <c r="AJ18">
        <v>403</v>
      </c>
      <c r="AK18">
        <v>671</v>
      </c>
      <c r="AL18">
        <v>13426</v>
      </c>
      <c r="AM18">
        <v>8952</v>
      </c>
      <c r="AN18">
        <v>6361</v>
      </c>
      <c r="AO18">
        <v>10480</v>
      </c>
      <c r="AP18">
        <v>0.93</v>
      </c>
      <c r="AQ18" t="str">
        <f t="shared" si="2"/>
        <v>Baldwin</v>
      </c>
      <c r="AR18" s="72" t="str">
        <f t="shared" si="3"/>
        <v>Increased Harvest</v>
      </c>
    </row>
    <row r="19" spans="1:44" x14ac:dyDescent="0.35">
      <c r="A19">
        <v>2033</v>
      </c>
      <c r="B19">
        <v>4133</v>
      </c>
      <c r="C19">
        <v>3011</v>
      </c>
      <c r="D19">
        <v>2488</v>
      </c>
      <c r="E19">
        <v>2792</v>
      </c>
      <c r="F19">
        <v>3358</v>
      </c>
      <c r="G19">
        <v>4177</v>
      </c>
      <c r="H19">
        <v>6310</v>
      </c>
      <c r="I19">
        <v>6042</v>
      </c>
      <c r="J19">
        <v>32311</v>
      </c>
      <c r="K19">
        <v>5922</v>
      </c>
      <c r="L19">
        <v>5095</v>
      </c>
      <c r="M19">
        <v>3003</v>
      </c>
      <c r="N19">
        <v>3668</v>
      </c>
      <c r="O19">
        <v>4680</v>
      </c>
      <c r="P19">
        <v>4399</v>
      </c>
      <c r="Q19">
        <v>7450</v>
      </c>
      <c r="R19">
        <v>7450</v>
      </c>
      <c r="S19">
        <v>41667</v>
      </c>
      <c r="T19">
        <v>5297</v>
      </c>
      <c r="U19">
        <v>4474</v>
      </c>
      <c r="V19">
        <v>2686</v>
      </c>
      <c r="W19">
        <v>3221</v>
      </c>
      <c r="X19">
        <v>4186</v>
      </c>
      <c r="Y19">
        <v>4127</v>
      </c>
      <c r="Z19">
        <v>6233</v>
      </c>
      <c r="AA19">
        <v>6233</v>
      </c>
      <c r="AB19">
        <v>36457</v>
      </c>
      <c r="AC19">
        <v>6424</v>
      </c>
      <c r="AD19">
        <v>1430</v>
      </c>
      <c r="AE19">
        <v>1678</v>
      </c>
      <c r="AF19">
        <v>376</v>
      </c>
      <c r="AG19">
        <v>628</v>
      </c>
      <c r="AH19">
        <v>1067</v>
      </c>
      <c r="AI19">
        <v>248</v>
      </c>
      <c r="AJ19">
        <v>374</v>
      </c>
      <c r="AK19">
        <v>623</v>
      </c>
      <c r="AL19">
        <v>12466</v>
      </c>
      <c r="AM19">
        <v>8313</v>
      </c>
      <c r="AN19">
        <v>5907</v>
      </c>
      <c r="AO19">
        <v>9771</v>
      </c>
      <c r="AP19">
        <v>0.93</v>
      </c>
      <c r="AQ19" t="str">
        <f t="shared" si="2"/>
        <v>Baldwin</v>
      </c>
      <c r="AR19" s="72" t="str">
        <f t="shared" si="3"/>
        <v>Increased Harvest</v>
      </c>
    </row>
    <row r="20" spans="1:44" x14ac:dyDescent="0.35">
      <c r="A20">
        <v>2034</v>
      </c>
      <c r="B20">
        <v>3867</v>
      </c>
      <c r="C20">
        <v>2796</v>
      </c>
      <c r="D20">
        <v>2310</v>
      </c>
      <c r="E20">
        <v>2593</v>
      </c>
      <c r="F20">
        <v>3119</v>
      </c>
      <c r="G20">
        <v>3879</v>
      </c>
      <c r="H20">
        <v>5859</v>
      </c>
      <c r="I20">
        <v>5610</v>
      </c>
      <c r="J20">
        <v>30033</v>
      </c>
      <c r="K20">
        <v>5525</v>
      </c>
      <c r="L20">
        <v>4732</v>
      </c>
      <c r="M20">
        <v>2790</v>
      </c>
      <c r="N20">
        <v>3406</v>
      </c>
      <c r="O20">
        <v>4345</v>
      </c>
      <c r="P20">
        <v>4084</v>
      </c>
      <c r="Q20">
        <v>6919</v>
      </c>
      <c r="R20">
        <v>6919</v>
      </c>
      <c r="S20">
        <v>38720</v>
      </c>
      <c r="T20">
        <v>4942</v>
      </c>
      <c r="U20">
        <v>4155</v>
      </c>
      <c r="V20">
        <v>2495</v>
      </c>
      <c r="W20">
        <v>2991</v>
      </c>
      <c r="X20">
        <v>3886</v>
      </c>
      <c r="Y20">
        <v>3831</v>
      </c>
      <c r="Z20">
        <v>5789</v>
      </c>
      <c r="AA20">
        <v>5789</v>
      </c>
      <c r="AB20">
        <v>33878</v>
      </c>
      <c r="AC20">
        <v>5971</v>
      </c>
      <c r="AD20">
        <v>1334</v>
      </c>
      <c r="AE20">
        <v>1558</v>
      </c>
      <c r="AF20">
        <v>349</v>
      </c>
      <c r="AG20">
        <v>583</v>
      </c>
      <c r="AH20">
        <v>991</v>
      </c>
      <c r="AI20">
        <v>230</v>
      </c>
      <c r="AJ20">
        <v>347</v>
      </c>
      <c r="AK20">
        <v>579</v>
      </c>
      <c r="AL20">
        <v>11578</v>
      </c>
      <c r="AM20">
        <v>7717</v>
      </c>
      <c r="AN20">
        <v>5486</v>
      </c>
      <c r="AO20">
        <v>9097</v>
      </c>
      <c r="AP20">
        <v>0.93</v>
      </c>
      <c r="AQ20" t="str">
        <f t="shared" si="2"/>
        <v>Baldwin</v>
      </c>
      <c r="AR20" s="72" t="str">
        <f t="shared" si="3"/>
        <v>Increased Harvest</v>
      </c>
    </row>
    <row r="21" spans="1:44" x14ac:dyDescent="0.35">
      <c r="A21">
        <v>2035</v>
      </c>
      <c r="B21">
        <v>3608</v>
      </c>
      <c r="C21">
        <v>2597</v>
      </c>
      <c r="D21">
        <v>2146</v>
      </c>
      <c r="E21">
        <v>2408</v>
      </c>
      <c r="F21">
        <v>2895</v>
      </c>
      <c r="G21">
        <v>3601</v>
      </c>
      <c r="H21">
        <v>5442</v>
      </c>
      <c r="I21">
        <v>5210</v>
      </c>
      <c r="J21">
        <v>27907</v>
      </c>
      <c r="K21">
        <v>5147</v>
      </c>
      <c r="L21">
        <v>4395</v>
      </c>
      <c r="M21">
        <v>2589</v>
      </c>
      <c r="N21">
        <v>3162</v>
      </c>
      <c r="O21">
        <v>4036</v>
      </c>
      <c r="P21">
        <v>3793</v>
      </c>
      <c r="Q21">
        <v>6425</v>
      </c>
      <c r="R21">
        <v>6425</v>
      </c>
      <c r="S21">
        <v>35972</v>
      </c>
      <c r="T21">
        <v>4604</v>
      </c>
      <c r="U21">
        <v>3859</v>
      </c>
      <c r="V21">
        <v>2316</v>
      </c>
      <c r="W21">
        <v>2776</v>
      </c>
      <c r="X21">
        <v>3610</v>
      </c>
      <c r="Y21">
        <v>3558</v>
      </c>
      <c r="Z21">
        <v>5376</v>
      </c>
      <c r="AA21">
        <v>5376</v>
      </c>
      <c r="AB21">
        <v>31475</v>
      </c>
      <c r="AC21" t="str">
        <v>na</v>
      </c>
      <c r="AD21" t="str">
        <v>na</v>
      </c>
      <c r="AE21" t="str">
        <v>na</v>
      </c>
      <c r="AF21" t="str">
        <v>na</v>
      </c>
      <c r="AG21" t="str">
        <v>na</v>
      </c>
      <c r="AH21" t="str">
        <v>na</v>
      </c>
      <c r="AI21" t="str">
        <v>na</v>
      </c>
      <c r="AJ21" t="str">
        <v>na</v>
      </c>
      <c r="AK21" t="str">
        <v>na</v>
      </c>
      <c r="AL21">
        <v>10752</v>
      </c>
      <c r="AM21">
        <v>7168</v>
      </c>
      <c r="AN21">
        <v>5092</v>
      </c>
      <c r="AO21">
        <v>8463</v>
      </c>
      <c r="AP21">
        <v>0.93</v>
      </c>
      <c r="AQ21" t="str">
        <f t="shared" si="2"/>
        <v>Baldwin</v>
      </c>
      <c r="AR21" s="72" t="str">
        <f t="shared" si="3"/>
        <v>Increased Harvest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AcCountDeer(Initial)</vt:lpstr>
      <vt:lpstr>AcCountDeer(Trial1)</vt:lpstr>
      <vt:lpstr>ForAnalysis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Holcomb</dc:creator>
  <cp:lastModifiedBy>Hunter Holcomb</cp:lastModifiedBy>
  <dcterms:created xsi:type="dcterms:W3CDTF">2026-04-28T17:05:30Z</dcterms:created>
  <dcterms:modified xsi:type="dcterms:W3CDTF">2026-04-28T17:39:49Z</dcterms:modified>
</cp:coreProperties>
</file>