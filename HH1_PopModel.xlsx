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germailauburn-my.sharepoint.com/personal/huh0001_auburn_edu/Documents/DeerPop/Excel model/"/>
    </mc:Choice>
  </mc:AlternateContent>
  <xr:revisionPtr revIDLastSave="542" documentId="8_{0D99251E-DEB8-46C4-B096-314BA5E1AC89}" xr6:coauthVersionLast="47" xr6:coauthVersionMax="47" xr10:uidLastSave="{65281618-AC4A-49D6-9AA4-A18BCC57E3D6}"/>
  <bookViews>
    <workbookView xWindow="-120" yWindow="-120" windowWidth="29040" windowHeight="15720" activeTab="5" xr2:uid="{A31E9334-2900-4B5C-920E-661DBAAA325F}"/>
  </bookViews>
  <sheets>
    <sheet name="General" sheetId="1" r:id="rId1"/>
    <sheet name="1.29" sheetId="3" r:id="rId2"/>
    <sheet name="1.29 - APR" sheetId="4" r:id="rId3"/>
    <sheet name="1.29 - 2003" sheetId="5" r:id="rId4"/>
    <sheet name="1.30" sheetId="6" r:id="rId5"/>
    <sheet name="2.2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6" i="7" l="1"/>
  <c r="B65" i="7" s="1"/>
  <c r="B64" i="7"/>
  <c r="B63" i="7"/>
  <c r="B62" i="7"/>
  <c r="AE33" i="7"/>
  <c r="L9" i="7"/>
  <c r="M9" i="7" s="1"/>
  <c r="O8" i="7"/>
  <c r="L8" i="7"/>
  <c r="M8" i="7" s="1"/>
  <c r="O7" i="7"/>
  <c r="L7" i="7"/>
  <c r="M7" i="7" s="1"/>
  <c r="B7" i="7"/>
  <c r="O6" i="7"/>
  <c r="L6" i="7"/>
  <c r="M6" i="7" s="1"/>
  <c r="O5" i="7"/>
  <c r="L5" i="7"/>
  <c r="M5" i="7" s="1"/>
  <c r="L4" i="7"/>
  <c r="M4" i="7" s="1"/>
  <c r="R3" i="7"/>
  <c r="O3" i="7"/>
  <c r="B61" i="7" s="1"/>
  <c r="M3" i="7"/>
  <c r="L3" i="7"/>
  <c r="B66" i="6"/>
  <c r="B65" i="6"/>
  <c r="B64" i="6"/>
  <c r="B63" i="6"/>
  <c r="B62" i="6"/>
  <c r="AE33" i="6"/>
  <c r="L9" i="6"/>
  <c r="M9" i="6" s="1"/>
  <c r="O8" i="6"/>
  <c r="L8" i="6"/>
  <c r="M8" i="6" s="1"/>
  <c r="O7" i="6"/>
  <c r="L7" i="6"/>
  <c r="M7" i="6" s="1"/>
  <c r="B7" i="6"/>
  <c r="O6" i="6"/>
  <c r="L6" i="6"/>
  <c r="M6" i="6" s="1"/>
  <c r="O5" i="6"/>
  <c r="O3" i="6" s="1"/>
  <c r="B61" i="6" s="1"/>
  <c r="L5" i="6"/>
  <c r="M5" i="6" s="1"/>
  <c r="L4" i="6"/>
  <c r="M4" i="6" s="1"/>
  <c r="R3" i="6"/>
  <c r="L3" i="6"/>
  <c r="M3" i="6" s="1"/>
  <c r="AE33" i="3"/>
  <c r="R3" i="3"/>
  <c r="O6" i="4"/>
  <c r="O5" i="4"/>
  <c r="O3" i="4" s="1"/>
  <c r="B3" i="3"/>
  <c r="B64" i="3"/>
  <c r="B66" i="3"/>
  <c r="B65" i="3" s="1"/>
  <c r="B66" i="5"/>
  <c r="B64" i="5"/>
  <c r="Q4" i="5"/>
  <c r="Q3" i="5"/>
  <c r="B65" i="5"/>
  <c r="B63" i="5"/>
  <c r="B62" i="5"/>
  <c r="L9" i="5"/>
  <c r="M9" i="5" s="1"/>
  <c r="O8" i="5"/>
  <c r="L8" i="5"/>
  <c r="M8" i="5" s="1"/>
  <c r="O7" i="5"/>
  <c r="L7" i="5"/>
  <c r="M7" i="5" s="1"/>
  <c r="B7" i="5"/>
  <c r="O6" i="5"/>
  <c r="L6" i="5"/>
  <c r="M6" i="5" s="1"/>
  <c r="O5" i="5"/>
  <c r="O3" i="5" s="1"/>
  <c r="L5" i="5"/>
  <c r="M5" i="5" s="1"/>
  <c r="L4" i="5"/>
  <c r="M4" i="5" s="1"/>
  <c r="L3" i="5"/>
  <c r="M3" i="5" s="1"/>
  <c r="O7" i="4"/>
  <c r="B66" i="4"/>
  <c r="B65" i="4"/>
  <c r="B63" i="4"/>
  <c r="B62" i="4"/>
  <c r="L9" i="4"/>
  <c r="M9" i="4" s="1"/>
  <c r="O8" i="4"/>
  <c r="L8" i="4"/>
  <c r="M8" i="4" s="1"/>
  <c r="L7" i="4"/>
  <c r="M7" i="4" s="1"/>
  <c r="B7" i="4"/>
  <c r="L6" i="4"/>
  <c r="M6" i="4" s="1"/>
  <c r="L5" i="4"/>
  <c r="M5" i="4" s="1"/>
  <c r="O4" i="4"/>
  <c r="L4" i="4"/>
  <c r="M4" i="4" s="1"/>
  <c r="L3" i="4"/>
  <c r="M3" i="4" s="1"/>
  <c r="B61" i="3"/>
  <c r="O7" i="3"/>
  <c r="O8" i="3"/>
  <c r="O6" i="3"/>
  <c r="O4" i="3" s="1"/>
  <c r="O5" i="3"/>
  <c r="O3" i="3" s="1"/>
  <c r="B63" i="3"/>
  <c r="B62" i="3"/>
  <c r="L9" i="3"/>
  <c r="M9" i="3" s="1"/>
  <c r="L8" i="3"/>
  <c r="M8" i="3" s="1"/>
  <c r="L7" i="3"/>
  <c r="M7" i="3" s="1"/>
  <c r="B7" i="3"/>
  <c r="L6" i="3"/>
  <c r="M6" i="3" s="1"/>
  <c r="L5" i="3"/>
  <c r="M5" i="3" s="1"/>
  <c r="L4" i="3"/>
  <c r="M4" i="3" s="1"/>
  <c r="L3" i="3"/>
  <c r="M3" i="3" s="1"/>
  <c r="B65" i="1"/>
  <c r="B66" i="1"/>
  <c r="B60" i="1"/>
  <c r="B3" i="1" s="1"/>
  <c r="B62" i="1"/>
  <c r="B63" i="1"/>
  <c r="L9" i="1"/>
  <c r="M9" i="1" s="1"/>
  <c r="L8" i="1"/>
  <c r="M8" i="1" s="1"/>
  <c r="L7" i="1"/>
  <c r="M7" i="1" s="1"/>
  <c r="B7" i="1"/>
  <c r="L6" i="1"/>
  <c r="M6" i="1" s="1"/>
  <c r="L5" i="1"/>
  <c r="M5" i="1" s="1"/>
  <c r="L4" i="1"/>
  <c r="M4" i="1" s="1"/>
  <c r="L3" i="1"/>
  <c r="M3" i="1" s="1"/>
  <c r="B60" i="7" l="1"/>
  <c r="B3" i="7" s="1"/>
  <c r="E5" i="7" s="1"/>
  <c r="O4" i="7"/>
  <c r="E7" i="7"/>
  <c r="C2" i="7"/>
  <c r="E6" i="7"/>
  <c r="S3" i="7"/>
  <c r="B60" i="6"/>
  <c r="B3" i="6" s="1"/>
  <c r="C2" i="6" s="1"/>
  <c r="O4" i="6"/>
  <c r="B60" i="3"/>
  <c r="O4" i="5"/>
  <c r="B61" i="5"/>
  <c r="B60" i="5" s="1"/>
  <c r="B3" i="5" s="1"/>
  <c r="B61" i="4"/>
  <c r="B60" i="4" s="1"/>
  <c r="B3" i="4" s="1"/>
  <c r="S3" i="4" s="1"/>
  <c r="E6" i="1"/>
  <c r="G6" i="1" s="1"/>
  <c r="P6" i="1" s="1"/>
  <c r="E13" i="1" s="1"/>
  <c r="L13" i="1" s="1"/>
  <c r="E5" i="1"/>
  <c r="G5" i="1" s="1"/>
  <c r="P4" i="1" s="1"/>
  <c r="C13" i="1" s="1"/>
  <c r="J13" i="1" s="1"/>
  <c r="E7" i="1"/>
  <c r="G7" i="1" s="1"/>
  <c r="G6" i="7" l="1"/>
  <c r="F6" i="7"/>
  <c r="G7" i="7"/>
  <c r="F7" i="7"/>
  <c r="F5" i="7"/>
  <c r="G5" i="7"/>
  <c r="P4" i="7"/>
  <c r="S3" i="6"/>
  <c r="E6" i="6"/>
  <c r="G6" i="6" s="1"/>
  <c r="E7" i="6"/>
  <c r="E5" i="6"/>
  <c r="F5" i="6" s="1"/>
  <c r="F7" i="6"/>
  <c r="G7" i="6"/>
  <c r="E5" i="5"/>
  <c r="C2" i="5"/>
  <c r="S3" i="5"/>
  <c r="E6" i="5"/>
  <c r="E7" i="5"/>
  <c r="E6" i="4"/>
  <c r="C2" i="4"/>
  <c r="E7" i="4"/>
  <c r="E5" i="4"/>
  <c r="F7" i="1"/>
  <c r="P7" i="1" s="1"/>
  <c r="F13" i="1" s="1"/>
  <c r="F6" i="1"/>
  <c r="P5" i="1" s="1"/>
  <c r="F5" i="1"/>
  <c r="P3" i="1" s="1"/>
  <c r="B13" i="1" s="1"/>
  <c r="I13" i="1" s="1"/>
  <c r="O13" i="1"/>
  <c r="U13" i="1" s="1"/>
  <c r="R13" i="1"/>
  <c r="C14" i="1" s="1"/>
  <c r="J14" i="1" s="1"/>
  <c r="P8" i="1"/>
  <c r="G13" i="1" s="1"/>
  <c r="N13" i="1" s="1"/>
  <c r="T13" i="1" s="1"/>
  <c r="E14" i="1" s="1"/>
  <c r="L14" i="1" s="1"/>
  <c r="C13" i="7" l="1"/>
  <c r="J13" i="7" s="1"/>
  <c r="P3" i="7"/>
  <c r="B13" i="7" s="1"/>
  <c r="P7" i="7"/>
  <c r="F13" i="7" s="1"/>
  <c r="P8" i="7"/>
  <c r="G13" i="7" s="1"/>
  <c r="N13" i="7" s="1"/>
  <c r="T13" i="7" s="1"/>
  <c r="P5" i="7"/>
  <c r="D13" i="7"/>
  <c r="P6" i="7"/>
  <c r="E13" i="7" s="1"/>
  <c r="L13" i="7" s="1"/>
  <c r="G5" i="6"/>
  <c r="P4" i="6" s="1"/>
  <c r="C13" i="6" s="1"/>
  <c r="J13" i="6" s="1"/>
  <c r="F6" i="6"/>
  <c r="P5" i="6" s="1"/>
  <c r="D13" i="6" s="1"/>
  <c r="P7" i="6"/>
  <c r="F13" i="6" s="1"/>
  <c r="P3" i="6"/>
  <c r="B13" i="6" s="1"/>
  <c r="P8" i="6"/>
  <c r="G13" i="6" s="1"/>
  <c r="N13" i="6" s="1"/>
  <c r="T13" i="6" s="1"/>
  <c r="P6" i="6"/>
  <c r="E13" i="6" s="1"/>
  <c r="L13" i="6" s="1"/>
  <c r="C2" i="3"/>
  <c r="E7" i="3"/>
  <c r="E6" i="3"/>
  <c r="E5" i="3"/>
  <c r="S3" i="3"/>
  <c r="G6" i="5"/>
  <c r="F6" i="5"/>
  <c r="G7" i="5"/>
  <c r="F7" i="5"/>
  <c r="G5" i="5"/>
  <c r="F5" i="5"/>
  <c r="G6" i="4"/>
  <c r="F6" i="4"/>
  <c r="G5" i="4"/>
  <c r="F5" i="4"/>
  <c r="G7" i="4"/>
  <c r="F7" i="4"/>
  <c r="D13" i="1"/>
  <c r="K13" i="1" s="1"/>
  <c r="Q13" i="1" s="1"/>
  <c r="B14" i="1" s="1"/>
  <c r="I14" i="1" s="1"/>
  <c r="P13" i="1"/>
  <c r="V13" i="1" s="1"/>
  <c r="G14" i="1" s="1"/>
  <c r="N14" i="1" s="1"/>
  <c r="T14" i="1" s="1"/>
  <c r="E15" i="1" s="1"/>
  <c r="L15" i="1" s="1"/>
  <c r="F14" i="1"/>
  <c r="M14" i="1" s="1"/>
  <c r="S14" i="1" s="1"/>
  <c r="D15" i="1" s="1"/>
  <c r="K15" i="1" s="1"/>
  <c r="R14" i="1"/>
  <c r="C15" i="1" s="1"/>
  <c r="J15" i="1" s="1"/>
  <c r="O14" i="1"/>
  <c r="P14" i="1" s="1"/>
  <c r="V14" i="1" s="1"/>
  <c r="G15" i="1" s="1"/>
  <c r="N15" i="1" s="1"/>
  <c r="T15" i="1" s="1"/>
  <c r="E16" i="1" s="1"/>
  <c r="L16" i="1" s="1"/>
  <c r="M13" i="1"/>
  <c r="S13" i="1" s="1"/>
  <c r="E14" i="7" l="1"/>
  <c r="L14" i="7" s="1"/>
  <c r="M13" i="7"/>
  <c r="S13" i="7" s="1"/>
  <c r="D14" i="7" s="1"/>
  <c r="AA13" i="7"/>
  <c r="I13" i="7"/>
  <c r="H13" i="7"/>
  <c r="AC13" i="7"/>
  <c r="K13" i="7"/>
  <c r="AB13" i="7"/>
  <c r="O13" i="7"/>
  <c r="R13" i="7"/>
  <c r="C14" i="7" s="1"/>
  <c r="J14" i="7" s="1"/>
  <c r="E14" i="6"/>
  <c r="L14" i="6" s="1"/>
  <c r="K13" i="6"/>
  <c r="AB13" i="6"/>
  <c r="I13" i="6"/>
  <c r="H13" i="6"/>
  <c r="E2" i="6" s="1"/>
  <c r="AC13" i="6"/>
  <c r="R13" i="6"/>
  <c r="C14" i="6" s="1"/>
  <c r="J14" i="6" s="1"/>
  <c r="O13" i="6"/>
  <c r="M13" i="6"/>
  <c r="S13" i="6" s="1"/>
  <c r="D14" i="6" s="1"/>
  <c r="AA13" i="6"/>
  <c r="G5" i="3"/>
  <c r="P4" i="3" s="1"/>
  <c r="C13" i="3" s="1"/>
  <c r="J13" i="3" s="1"/>
  <c r="F5" i="3"/>
  <c r="P3" i="3" s="1"/>
  <c r="B13" i="3" s="1"/>
  <c r="I13" i="3" s="1"/>
  <c r="G6" i="3"/>
  <c r="P6" i="3" s="1"/>
  <c r="E13" i="3" s="1"/>
  <c r="L13" i="3" s="1"/>
  <c r="F6" i="3"/>
  <c r="P5" i="3" s="1"/>
  <c r="D13" i="3" s="1"/>
  <c r="F7" i="3"/>
  <c r="P7" i="3" s="1"/>
  <c r="F13" i="3" s="1"/>
  <c r="M13" i="3" s="1"/>
  <c r="S13" i="3" s="1"/>
  <c r="G7" i="3"/>
  <c r="P8" i="3" s="1"/>
  <c r="G13" i="3" s="1"/>
  <c r="N13" i="3" s="1"/>
  <c r="T13" i="3" s="1"/>
  <c r="P8" i="5"/>
  <c r="G13" i="5" s="1"/>
  <c r="N13" i="5" s="1"/>
  <c r="T13" i="5" s="1"/>
  <c r="P3" i="5"/>
  <c r="B13" i="5" s="1"/>
  <c r="P4" i="5"/>
  <c r="C13" i="5" s="1"/>
  <c r="J13" i="5" s="1"/>
  <c r="P7" i="5"/>
  <c r="F13" i="5" s="1"/>
  <c r="P5" i="5"/>
  <c r="D13" i="5" s="1"/>
  <c r="P6" i="5"/>
  <c r="E13" i="5" s="1"/>
  <c r="L13" i="5" s="1"/>
  <c r="P7" i="4"/>
  <c r="F13" i="4" s="1"/>
  <c r="P8" i="4"/>
  <c r="G13" i="4" s="1"/>
  <c r="N13" i="4" s="1"/>
  <c r="T13" i="4" s="1"/>
  <c r="P3" i="4"/>
  <c r="B13" i="4" s="1"/>
  <c r="P4" i="4"/>
  <c r="C13" i="4" s="1"/>
  <c r="J13" i="4" s="1"/>
  <c r="P5" i="4"/>
  <c r="D13" i="4" s="1"/>
  <c r="P6" i="4"/>
  <c r="E13" i="4" s="1"/>
  <c r="L13" i="4" s="1"/>
  <c r="H13" i="1"/>
  <c r="U14" i="1"/>
  <c r="F15" i="1" s="1"/>
  <c r="M15" i="1" s="1"/>
  <c r="S15" i="1" s="1"/>
  <c r="D16" i="1" s="1"/>
  <c r="K16" i="1" s="1"/>
  <c r="O15" i="1"/>
  <c r="U15" i="1" s="1"/>
  <c r="F16" i="1" s="1"/>
  <c r="M16" i="1" s="1"/>
  <c r="S16" i="1" s="1"/>
  <c r="D17" i="1" s="1"/>
  <c r="K17" i="1" s="1"/>
  <c r="R15" i="1"/>
  <c r="C16" i="1" s="1"/>
  <c r="J16" i="1" s="1"/>
  <c r="O16" i="1" s="1"/>
  <c r="D14" i="1"/>
  <c r="W13" i="1"/>
  <c r="R14" i="7" l="1"/>
  <c r="C15" i="7" s="1"/>
  <c r="J15" i="7" s="1"/>
  <c r="O14" i="7"/>
  <c r="P13" i="7"/>
  <c r="V13" i="7" s="1"/>
  <c r="G14" i="7" s="1"/>
  <c r="N14" i="7" s="1"/>
  <c r="T14" i="7" s="1"/>
  <c r="E15" i="7" s="1"/>
  <c r="L15" i="7" s="1"/>
  <c r="Z13" i="7"/>
  <c r="U13" i="7"/>
  <c r="F14" i="7" s="1"/>
  <c r="S4" i="7"/>
  <c r="E2" i="7"/>
  <c r="Q13" i="7"/>
  <c r="K14" i="7"/>
  <c r="AB14" i="7"/>
  <c r="Q13" i="6"/>
  <c r="B14" i="6" s="1"/>
  <c r="R14" i="6"/>
  <c r="C15" i="6" s="1"/>
  <c r="J15" i="6" s="1"/>
  <c r="O14" i="6"/>
  <c r="S4" i="6"/>
  <c r="AB14" i="6"/>
  <c r="K14" i="6"/>
  <c r="P13" i="6"/>
  <c r="V13" i="6" s="1"/>
  <c r="G14" i="6" s="1"/>
  <c r="N14" i="6" s="1"/>
  <c r="T14" i="6" s="1"/>
  <c r="E15" i="6" s="1"/>
  <c r="L15" i="6" s="1"/>
  <c r="U13" i="6"/>
  <c r="F14" i="6" s="1"/>
  <c r="AA13" i="3"/>
  <c r="AB13" i="3"/>
  <c r="H13" i="3"/>
  <c r="E2" i="3" s="1"/>
  <c r="E14" i="3"/>
  <c r="L14" i="3" s="1"/>
  <c r="O13" i="3"/>
  <c r="P13" i="3" s="1"/>
  <c r="V13" i="3" s="1"/>
  <c r="G14" i="3" s="1"/>
  <c r="N14" i="3" s="1"/>
  <c r="T14" i="3" s="1"/>
  <c r="E15" i="3" s="1"/>
  <c r="L15" i="3" s="1"/>
  <c r="R13" i="3"/>
  <c r="C14" i="3" s="1"/>
  <c r="J14" i="3" s="1"/>
  <c r="AC13" i="3"/>
  <c r="D14" i="3"/>
  <c r="K14" i="3" s="1"/>
  <c r="K13" i="3"/>
  <c r="Q13" i="3" s="1"/>
  <c r="B14" i="3" s="1"/>
  <c r="E14" i="5"/>
  <c r="L14" i="5" s="1"/>
  <c r="M13" i="5"/>
  <c r="S13" i="5" s="1"/>
  <c r="D14" i="5" s="1"/>
  <c r="AA13" i="5"/>
  <c r="AC13" i="5"/>
  <c r="I13" i="5"/>
  <c r="H13" i="5"/>
  <c r="K13" i="5"/>
  <c r="AB13" i="5"/>
  <c r="R13" i="5"/>
  <c r="C14" i="5" s="1"/>
  <c r="J14" i="5" s="1"/>
  <c r="O13" i="5"/>
  <c r="E14" i="4"/>
  <c r="L14" i="4" s="1"/>
  <c r="K13" i="4"/>
  <c r="AB13" i="4"/>
  <c r="R13" i="4"/>
  <c r="C14" i="4" s="1"/>
  <c r="J14" i="4" s="1"/>
  <c r="O13" i="4"/>
  <c r="I13" i="4"/>
  <c r="H13" i="4"/>
  <c r="AC13" i="4"/>
  <c r="M13" i="4"/>
  <c r="S13" i="4" s="1"/>
  <c r="D14" i="4" s="1"/>
  <c r="AA13" i="4"/>
  <c r="P15" i="1"/>
  <c r="V15" i="1" s="1"/>
  <c r="G16" i="1" s="1"/>
  <c r="N16" i="1" s="1"/>
  <c r="T16" i="1" s="1"/>
  <c r="E17" i="1" s="1"/>
  <c r="L17" i="1" s="1"/>
  <c r="R16" i="1"/>
  <c r="C17" i="1" s="1"/>
  <c r="J17" i="1" s="1"/>
  <c r="P16" i="1"/>
  <c r="V16" i="1" s="1"/>
  <c r="G17" i="1" s="1"/>
  <c r="N17" i="1" s="1"/>
  <c r="T17" i="1" s="1"/>
  <c r="E18" i="1" s="1"/>
  <c r="L18" i="1" s="1"/>
  <c r="U16" i="1"/>
  <c r="F17" i="1" s="1"/>
  <c r="M17" i="1" s="1"/>
  <c r="S17" i="1" s="1"/>
  <c r="D18" i="1" s="1"/>
  <c r="K18" i="1" s="1"/>
  <c r="K14" i="1"/>
  <c r="Q14" i="1" s="1"/>
  <c r="H14" i="1"/>
  <c r="B14" i="7" l="1"/>
  <c r="W13" i="7"/>
  <c r="AE13" i="7" s="1"/>
  <c r="M14" i="7"/>
  <c r="S14" i="7" s="1"/>
  <c r="D15" i="7" s="1"/>
  <c r="AA14" i="7"/>
  <c r="P14" i="7"/>
  <c r="V14" i="7" s="1"/>
  <c r="G15" i="7" s="1"/>
  <c r="N15" i="7" s="1"/>
  <c r="T15" i="7" s="1"/>
  <c r="E16" i="7" s="1"/>
  <c r="L16" i="7" s="1"/>
  <c r="U14" i="7"/>
  <c r="F15" i="7" s="1"/>
  <c r="Z14" i="7"/>
  <c r="R15" i="7"/>
  <c r="C16" i="7" s="1"/>
  <c r="J16" i="7" s="1"/>
  <c r="O15" i="7"/>
  <c r="Z13" i="6"/>
  <c r="W13" i="6"/>
  <c r="AE13" i="6" s="1"/>
  <c r="AA14" i="6"/>
  <c r="M14" i="6"/>
  <c r="S14" i="6" s="1"/>
  <c r="D15" i="6" s="1"/>
  <c r="P14" i="6"/>
  <c r="V14" i="6" s="1"/>
  <c r="G15" i="6" s="1"/>
  <c r="N15" i="6" s="1"/>
  <c r="T15" i="6" s="1"/>
  <c r="E16" i="6" s="1"/>
  <c r="L16" i="6" s="1"/>
  <c r="U14" i="6"/>
  <c r="F15" i="6" s="1"/>
  <c r="AC14" i="6"/>
  <c r="I14" i="6"/>
  <c r="Q14" i="6" s="1"/>
  <c r="H14" i="6"/>
  <c r="R15" i="6"/>
  <c r="C16" i="6" s="1"/>
  <c r="J16" i="6" s="1"/>
  <c r="O15" i="6"/>
  <c r="Q13" i="4"/>
  <c r="E2" i="4"/>
  <c r="S4" i="4"/>
  <c r="AC14" i="3"/>
  <c r="R14" i="3"/>
  <c r="C15" i="3" s="1"/>
  <c r="J15" i="3" s="1"/>
  <c r="R15" i="3" s="1"/>
  <c r="C16" i="3" s="1"/>
  <c r="J16" i="3" s="1"/>
  <c r="AB14" i="3"/>
  <c r="S4" i="3"/>
  <c r="O14" i="3"/>
  <c r="P14" i="3" s="1"/>
  <c r="V14" i="3" s="1"/>
  <c r="G15" i="3" s="1"/>
  <c r="N15" i="3" s="1"/>
  <c r="T15" i="3" s="1"/>
  <c r="E16" i="3" s="1"/>
  <c r="L16" i="3" s="1"/>
  <c r="U13" i="3"/>
  <c r="F14" i="3" s="1"/>
  <c r="H14" i="3" s="1"/>
  <c r="O14" i="5"/>
  <c r="R14" i="5"/>
  <c r="C15" i="5" s="1"/>
  <c r="J15" i="5" s="1"/>
  <c r="Q13" i="5"/>
  <c r="P13" i="5"/>
  <c r="V13" i="5" s="1"/>
  <c r="G14" i="5" s="1"/>
  <c r="N14" i="5" s="1"/>
  <c r="T14" i="5" s="1"/>
  <c r="E15" i="5" s="1"/>
  <c r="L15" i="5" s="1"/>
  <c r="Z13" i="5"/>
  <c r="U13" i="5"/>
  <c r="F14" i="5" s="1"/>
  <c r="S4" i="5"/>
  <c r="E2" i="5"/>
  <c r="K14" i="5"/>
  <c r="AB14" i="5"/>
  <c r="AB14" i="4"/>
  <c r="K14" i="4"/>
  <c r="P13" i="4"/>
  <c r="V13" i="4" s="1"/>
  <c r="G14" i="4" s="1"/>
  <c r="N14" i="4" s="1"/>
  <c r="T14" i="4" s="1"/>
  <c r="E15" i="4" s="1"/>
  <c r="L15" i="4" s="1"/>
  <c r="U13" i="4"/>
  <c r="F14" i="4" s="1"/>
  <c r="Z13" i="4"/>
  <c r="O14" i="4"/>
  <c r="R14" i="4"/>
  <c r="C15" i="4" s="1"/>
  <c r="J15" i="4" s="1"/>
  <c r="B14" i="4"/>
  <c r="W13" i="4"/>
  <c r="Z13" i="3"/>
  <c r="I14" i="3"/>
  <c r="Q14" i="3" s="1"/>
  <c r="O17" i="1"/>
  <c r="R17" i="1"/>
  <c r="C18" i="1" s="1"/>
  <c r="J18" i="1" s="1"/>
  <c r="O18" i="1" s="1"/>
  <c r="U17" i="1"/>
  <c r="F18" i="1" s="1"/>
  <c r="M18" i="1" s="1"/>
  <c r="S18" i="1" s="1"/>
  <c r="D19" i="1" s="1"/>
  <c r="K19" i="1" s="1"/>
  <c r="P17" i="1"/>
  <c r="V17" i="1" s="1"/>
  <c r="G18" i="1" s="1"/>
  <c r="N18" i="1" s="1"/>
  <c r="T18" i="1" s="1"/>
  <c r="E19" i="1" s="1"/>
  <c r="L19" i="1" s="1"/>
  <c r="B15" i="1"/>
  <c r="W14" i="1"/>
  <c r="X14" i="1" s="1"/>
  <c r="P15" i="7" l="1"/>
  <c r="V15" i="7" s="1"/>
  <c r="G16" i="7" s="1"/>
  <c r="N16" i="7" s="1"/>
  <c r="T16" i="7" s="1"/>
  <c r="E17" i="7" s="1"/>
  <c r="L17" i="7" s="1"/>
  <c r="U15" i="7"/>
  <c r="F16" i="7" s="1"/>
  <c r="R16" i="7"/>
  <c r="C17" i="7" s="1"/>
  <c r="J17" i="7" s="1"/>
  <c r="O16" i="7"/>
  <c r="M15" i="7"/>
  <c r="S15" i="7" s="1"/>
  <c r="D16" i="7" s="1"/>
  <c r="AA15" i="7"/>
  <c r="K15" i="7"/>
  <c r="AB15" i="7"/>
  <c r="I14" i="7"/>
  <c r="Q14" i="7" s="1"/>
  <c r="H14" i="7"/>
  <c r="AC14" i="7"/>
  <c r="R16" i="6"/>
  <c r="C17" i="6" s="1"/>
  <c r="J17" i="6" s="1"/>
  <c r="O16" i="6"/>
  <c r="AB15" i="6"/>
  <c r="K15" i="6"/>
  <c r="P15" i="6"/>
  <c r="V15" i="6" s="1"/>
  <c r="G16" i="6" s="1"/>
  <c r="N16" i="6" s="1"/>
  <c r="T16" i="6" s="1"/>
  <c r="E17" i="6" s="1"/>
  <c r="L17" i="6" s="1"/>
  <c r="U15" i="6"/>
  <c r="F16" i="6" s="1"/>
  <c r="B15" i="6"/>
  <c r="W14" i="6"/>
  <c r="AA15" i="6"/>
  <c r="M15" i="6"/>
  <c r="S15" i="6" s="1"/>
  <c r="D16" i="6" s="1"/>
  <c r="Z14" i="6"/>
  <c r="O15" i="3"/>
  <c r="P15" i="3" s="1"/>
  <c r="V15" i="3" s="1"/>
  <c r="G16" i="3" s="1"/>
  <c r="N16" i="3" s="1"/>
  <c r="T16" i="3" s="1"/>
  <c r="E17" i="3" s="1"/>
  <c r="L17" i="3" s="1"/>
  <c r="AA14" i="3"/>
  <c r="M14" i="3"/>
  <c r="S14" i="3" s="1"/>
  <c r="D15" i="3" s="1"/>
  <c r="K15" i="3" s="1"/>
  <c r="W13" i="3"/>
  <c r="AE13" i="3" s="1"/>
  <c r="U14" i="3"/>
  <c r="F15" i="3" s="1"/>
  <c r="M15" i="3" s="1"/>
  <c r="S15" i="3" s="1"/>
  <c r="D16" i="3" s="1"/>
  <c r="M14" i="5"/>
  <c r="S14" i="5" s="1"/>
  <c r="D15" i="5" s="1"/>
  <c r="AA14" i="5"/>
  <c r="B14" i="5"/>
  <c r="W13" i="5"/>
  <c r="O15" i="5"/>
  <c r="R15" i="5"/>
  <c r="C16" i="5" s="1"/>
  <c r="J16" i="5" s="1"/>
  <c r="P14" i="5"/>
  <c r="V14" i="5" s="1"/>
  <c r="G15" i="5" s="1"/>
  <c r="N15" i="5" s="1"/>
  <c r="T15" i="5" s="1"/>
  <c r="E16" i="5" s="1"/>
  <c r="L16" i="5" s="1"/>
  <c r="U14" i="5"/>
  <c r="F15" i="5" s="1"/>
  <c r="AC14" i="4"/>
  <c r="I14" i="4"/>
  <c r="Q14" i="4" s="1"/>
  <c r="H14" i="4"/>
  <c r="P14" i="4"/>
  <c r="V14" i="4" s="1"/>
  <c r="G15" i="4" s="1"/>
  <c r="N15" i="4" s="1"/>
  <c r="T15" i="4" s="1"/>
  <c r="E16" i="4" s="1"/>
  <c r="L16" i="4" s="1"/>
  <c r="U14" i="4"/>
  <c r="F15" i="4" s="1"/>
  <c r="Z14" i="4"/>
  <c r="M14" i="4"/>
  <c r="S14" i="4" s="1"/>
  <c r="D15" i="4" s="1"/>
  <c r="AA14" i="4"/>
  <c r="O15" i="4"/>
  <c r="R15" i="4"/>
  <c r="C16" i="4" s="1"/>
  <c r="J16" i="4" s="1"/>
  <c r="Z14" i="3"/>
  <c r="B15" i="3"/>
  <c r="AC15" i="3" s="1"/>
  <c r="R16" i="3"/>
  <c r="C17" i="3" s="1"/>
  <c r="J17" i="3" s="1"/>
  <c r="O16" i="3"/>
  <c r="R18" i="1"/>
  <c r="C19" i="1" s="1"/>
  <c r="J19" i="1" s="1"/>
  <c r="O19" i="1" s="1"/>
  <c r="I15" i="1"/>
  <c r="Q15" i="1" s="1"/>
  <c r="H15" i="1"/>
  <c r="U18" i="1"/>
  <c r="F19" i="1" s="1"/>
  <c r="M19" i="1" s="1"/>
  <c r="S19" i="1" s="1"/>
  <c r="D20" i="1" s="1"/>
  <c r="K20" i="1" s="1"/>
  <c r="P18" i="1"/>
  <c r="V18" i="1" s="1"/>
  <c r="G19" i="1" s="1"/>
  <c r="N19" i="1" s="1"/>
  <c r="T19" i="1" s="1"/>
  <c r="E20" i="1" s="1"/>
  <c r="L20" i="1" s="1"/>
  <c r="B15" i="7" l="1"/>
  <c r="W14" i="7"/>
  <c r="P16" i="7"/>
  <c r="V16" i="7" s="1"/>
  <c r="G17" i="7" s="1"/>
  <c r="N17" i="7" s="1"/>
  <c r="T17" i="7" s="1"/>
  <c r="E18" i="7" s="1"/>
  <c r="L18" i="7" s="1"/>
  <c r="U16" i="7"/>
  <c r="F17" i="7" s="1"/>
  <c r="M16" i="7"/>
  <c r="S16" i="7" s="1"/>
  <c r="D17" i="7" s="1"/>
  <c r="AA16" i="7"/>
  <c r="AB16" i="7"/>
  <c r="K16" i="7"/>
  <c r="R17" i="7"/>
  <c r="C18" i="7" s="1"/>
  <c r="J18" i="7" s="1"/>
  <c r="O17" i="7"/>
  <c r="Z15" i="7"/>
  <c r="Z15" i="6"/>
  <c r="K16" i="6"/>
  <c r="AB16" i="6"/>
  <c r="AC15" i="6"/>
  <c r="H15" i="6"/>
  <c r="I15" i="6"/>
  <c r="Q15" i="6" s="1"/>
  <c r="AA16" i="6"/>
  <c r="M16" i="6"/>
  <c r="S16" i="6" s="1"/>
  <c r="D17" i="6" s="1"/>
  <c r="P16" i="6"/>
  <c r="V16" i="6" s="1"/>
  <c r="G17" i="6" s="1"/>
  <c r="N17" i="6" s="1"/>
  <c r="T17" i="6" s="1"/>
  <c r="E18" i="6" s="1"/>
  <c r="L18" i="6" s="1"/>
  <c r="U16" i="6"/>
  <c r="F17" i="6" s="1"/>
  <c r="AE14" i="6"/>
  <c r="X14" i="6"/>
  <c r="R17" i="6"/>
  <c r="C18" i="6" s="1"/>
  <c r="J18" i="6" s="1"/>
  <c r="O17" i="6"/>
  <c r="U15" i="3"/>
  <c r="F16" i="3" s="1"/>
  <c r="M16" i="3" s="1"/>
  <c r="S16" i="3" s="1"/>
  <c r="D17" i="3" s="1"/>
  <c r="W14" i="3"/>
  <c r="AB15" i="3"/>
  <c r="AA15" i="3"/>
  <c r="Z14" i="5"/>
  <c r="M15" i="5"/>
  <c r="S15" i="5" s="1"/>
  <c r="D16" i="5" s="1"/>
  <c r="AA15" i="5"/>
  <c r="R16" i="5"/>
  <c r="C17" i="5" s="1"/>
  <c r="J17" i="5" s="1"/>
  <c r="O16" i="5"/>
  <c r="P15" i="5"/>
  <c r="V15" i="5" s="1"/>
  <c r="G16" i="5" s="1"/>
  <c r="N16" i="5" s="1"/>
  <c r="T16" i="5" s="1"/>
  <c r="E17" i="5" s="1"/>
  <c r="L17" i="5" s="1"/>
  <c r="U15" i="5"/>
  <c r="F16" i="5" s="1"/>
  <c r="I14" i="5"/>
  <c r="Q14" i="5" s="1"/>
  <c r="H14" i="5"/>
  <c r="AC14" i="5"/>
  <c r="AB15" i="5"/>
  <c r="K15" i="5"/>
  <c r="R16" i="4"/>
  <c r="C17" i="4" s="1"/>
  <c r="J17" i="4" s="1"/>
  <c r="O16" i="4"/>
  <c r="AB15" i="4"/>
  <c r="K15" i="4"/>
  <c r="AA15" i="4"/>
  <c r="M15" i="4"/>
  <c r="S15" i="4" s="1"/>
  <c r="D16" i="4" s="1"/>
  <c r="W14" i="4"/>
  <c r="X14" i="4" s="1"/>
  <c r="B15" i="4"/>
  <c r="P15" i="4"/>
  <c r="V15" i="4" s="1"/>
  <c r="G16" i="4" s="1"/>
  <c r="N16" i="4" s="1"/>
  <c r="T16" i="4" s="1"/>
  <c r="E17" i="4" s="1"/>
  <c r="L17" i="4" s="1"/>
  <c r="U15" i="4"/>
  <c r="F16" i="4" s="1"/>
  <c r="K16" i="3"/>
  <c r="AB16" i="3"/>
  <c r="Z15" i="3"/>
  <c r="U16" i="3"/>
  <c r="F17" i="3" s="1"/>
  <c r="P16" i="3"/>
  <c r="V16" i="3" s="1"/>
  <c r="G17" i="3" s="1"/>
  <c r="N17" i="3" s="1"/>
  <c r="T17" i="3" s="1"/>
  <c r="E18" i="3" s="1"/>
  <c r="L18" i="3" s="1"/>
  <c r="R17" i="3"/>
  <c r="C18" i="3" s="1"/>
  <c r="J18" i="3" s="1"/>
  <c r="O17" i="3"/>
  <c r="I15" i="3"/>
  <c r="Q15" i="3" s="1"/>
  <c r="H15" i="3"/>
  <c r="R19" i="1"/>
  <c r="C20" i="1" s="1"/>
  <c r="J20" i="1" s="1"/>
  <c r="R20" i="1" s="1"/>
  <c r="C21" i="1" s="1"/>
  <c r="J21" i="1" s="1"/>
  <c r="P19" i="1"/>
  <c r="V19" i="1" s="1"/>
  <c r="G20" i="1" s="1"/>
  <c r="N20" i="1" s="1"/>
  <c r="T20" i="1" s="1"/>
  <c r="E21" i="1" s="1"/>
  <c r="L21" i="1" s="1"/>
  <c r="U19" i="1"/>
  <c r="F20" i="1" s="1"/>
  <c r="M20" i="1" s="1"/>
  <c r="S20" i="1" s="1"/>
  <c r="D21" i="1" s="1"/>
  <c r="K21" i="1" s="1"/>
  <c r="W15" i="1"/>
  <c r="X15" i="1" s="1"/>
  <c r="B16" i="1"/>
  <c r="R18" i="7" l="1"/>
  <c r="C19" i="7" s="1"/>
  <c r="J19" i="7" s="1"/>
  <c r="O18" i="7"/>
  <c r="M17" i="7"/>
  <c r="S17" i="7" s="1"/>
  <c r="D18" i="7" s="1"/>
  <c r="AA17" i="7"/>
  <c r="P17" i="7"/>
  <c r="V17" i="7" s="1"/>
  <c r="G18" i="7" s="1"/>
  <c r="N18" i="7" s="1"/>
  <c r="T18" i="7" s="1"/>
  <c r="E19" i="7" s="1"/>
  <c r="L19" i="7" s="1"/>
  <c r="U17" i="7"/>
  <c r="F18" i="7" s="1"/>
  <c r="AB17" i="7"/>
  <c r="K17" i="7"/>
  <c r="Z16" i="7"/>
  <c r="AE14" i="7"/>
  <c r="X14" i="7"/>
  <c r="I15" i="7"/>
  <c r="Q15" i="7" s="1"/>
  <c r="H15" i="7"/>
  <c r="AC15" i="7"/>
  <c r="Z16" i="6"/>
  <c r="P17" i="6"/>
  <c r="V17" i="6" s="1"/>
  <c r="G18" i="6" s="1"/>
  <c r="N18" i="6" s="1"/>
  <c r="T18" i="6" s="1"/>
  <c r="E19" i="6" s="1"/>
  <c r="L19" i="6" s="1"/>
  <c r="U17" i="6"/>
  <c r="F18" i="6" s="1"/>
  <c r="R18" i="6"/>
  <c r="C19" i="6" s="1"/>
  <c r="J19" i="6" s="1"/>
  <c r="O18" i="6"/>
  <c r="M17" i="6"/>
  <c r="S17" i="6" s="1"/>
  <c r="D18" i="6" s="1"/>
  <c r="AA17" i="6"/>
  <c r="K17" i="6"/>
  <c r="AB17" i="6"/>
  <c r="B16" i="6"/>
  <c r="W15" i="6"/>
  <c r="AA16" i="3"/>
  <c r="X14" i="3"/>
  <c r="AE14" i="3"/>
  <c r="Z15" i="5"/>
  <c r="M16" i="5"/>
  <c r="S16" i="5" s="1"/>
  <c r="D17" i="5" s="1"/>
  <c r="AA16" i="5"/>
  <c r="P16" i="5"/>
  <c r="V16" i="5" s="1"/>
  <c r="G17" i="5" s="1"/>
  <c r="N17" i="5" s="1"/>
  <c r="T17" i="5" s="1"/>
  <c r="E18" i="5" s="1"/>
  <c r="L18" i="5" s="1"/>
  <c r="U16" i="5"/>
  <c r="F17" i="5" s="1"/>
  <c r="Z16" i="5"/>
  <c r="B15" i="5"/>
  <c r="W14" i="5"/>
  <c r="X14" i="5" s="1"/>
  <c r="O17" i="5"/>
  <c r="R17" i="5"/>
  <c r="C18" i="5" s="1"/>
  <c r="J18" i="5" s="1"/>
  <c r="K16" i="5"/>
  <c r="AB16" i="5"/>
  <c r="Z15" i="4"/>
  <c r="AA16" i="4"/>
  <c r="M16" i="4"/>
  <c r="S16" i="4" s="1"/>
  <c r="D17" i="4" s="1"/>
  <c r="AC15" i="4"/>
  <c r="I15" i="4"/>
  <c r="Q15" i="4" s="1"/>
  <c r="H15" i="4"/>
  <c r="P16" i="4"/>
  <c r="V16" i="4" s="1"/>
  <c r="G17" i="4" s="1"/>
  <c r="N17" i="4" s="1"/>
  <c r="T17" i="4" s="1"/>
  <c r="E18" i="4" s="1"/>
  <c r="L18" i="4" s="1"/>
  <c r="U16" i="4"/>
  <c r="F17" i="4" s="1"/>
  <c r="Z16" i="4"/>
  <c r="AB16" i="4"/>
  <c r="K16" i="4"/>
  <c r="R17" i="4"/>
  <c r="C18" i="4" s="1"/>
  <c r="J18" i="4" s="1"/>
  <c r="O17" i="4"/>
  <c r="M17" i="3"/>
  <c r="S17" i="3" s="1"/>
  <c r="D18" i="3" s="1"/>
  <c r="AA17" i="3"/>
  <c r="K17" i="3"/>
  <c r="AB17" i="3"/>
  <c r="Z16" i="3"/>
  <c r="B16" i="3"/>
  <c r="AC16" i="3" s="1"/>
  <c r="W15" i="3"/>
  <c r="P17" i="3"/>
  <c r="V17" i="3" s="1"/>
  <c r="G18" i="3" s="1"/>
  <c r="N18" i="3" s="1"/>
  <c r="T18" i="3" s="1"/>
  <c r="E19" i="3" s="1"/>
  <c r="L19" i="3" s="1"/>
  <c r="U17" i="3"/>
  <c r="F18" i="3" s="1"/>
  <c r="O18" i="3"/>
  <c r="R18" i="3"/>
  <c r="C19" i="3" s="1"/>
  <c r="J19" i="3" s="1"/>
  <c r="O20" i="1"/>
  <c r="P20" i="1" s="1"/>
  <c r="V20" i="1" s="1"/>
  <c r="G21" i="1" s="1"/>
  <c r="N21" i="1" s="1"/>
  <c r="T21" i="1" s="1"/>
  <c r="E22" i="1" s="1"/>
  <c r="L22" i="1" s="1"/>
  <c r="I16" i="1"/>
  <c r="Q16" i="1" s="1"/>
  <c r="H16" i="1"/>
  <c r="R21" i="1"/>
  <c r="C22" i="1" s="1"/>
  <c r="J22" i="1" s="1"/>
  <c r="O21" i="1"/>
  <c r="B16" i="7" l="1"/>
  <c r="W15" i="7"/>
  <c r="M18" i="7"/>
  <c r="S18" i="7" s="1"/>
  <c r="D19" i="7" s="1"/>
  <c r="AA18" i="7"/>
  <c r="Z17" i="7"/>
  <c r="AB18" i="7"/>
  <c r="K18" i="7"/>
  <c r="P18" i="7"/>
  <c r="V18" i="7" s="1"/>
  <c r="G19" i="7" s="1"/>
  <c r="N19" i="7" s="1"/>
  <c r="T19" i="7" s="1"/>
  <c r="E20" i="7" s="1"/>
  <c r="L20" i="7" s="1"/>
  <c r="U18" i="7"/>
  <c r="F19" i="7" s="1"/>
  <c r="R19" i="7"/>
  <c r="C20" i="7" s="1"/>
  <c r="J20" i="7" s="1"/>
  <c r="O19" i="7"/>
  <c r="Z17" i="6"/>
  <c r="H16" i="6"/>
  <c r="AC16" i="6"/>
  <c r="I16" i="6"/>
  <c r="Q16" i="6" s="1"/>
  <c r="R19" i="6"/>
  <c r="C20" i="6" s="1"/>
  <c r="J20" i="6" s="1"/>
  <c r="O19" i="6"/>
  <c r="AE15" i="6"/>
  <c r="X15" i="6"/>
  <c r="K18" i="6"/>
  <c r="AB18" i="6"/>
  <c r="P18" i="6"/>
  <c r="V18" i="6" s="1"/>
  <c r="G19" i="6" s="1"/>
  <c r="N19" i="6" s="1"/>
  <c r="T19" i="6" s="1"/>
  <c r="E20" i="6" s="1"/>
  <c r="L20" i="6" s="1"/>
  <c r="U18" i="6"/>
  <c r="F19" i="6" s="1"/>
  <c r="M18" i="6"/>
  <c r="S18" i="6" s="1"/>
  <c r="D19" i="6" s="1"/>
  <c r="AA18" i="6"/>
  <c r="X15" i="3"/>
  <c r="AE15" i="3"/>
  <c r="P17" i="5"/>
  <c r="V17" i="5" s="1"/>
  <c r="G18" i="5" s="1"/>
  <c r="N18" i="5" s="1"/>
  <c r="T18" i="5" s="1"/>
  <c r="E19" i="5" s="1"/>
  <c r="L19" i="5" s="1"/>
  <c r="U17" i="5"/>
  <c r="F18" i="5" s="1"/>
  <c r="R18" i="5"/>
  <c r="C19" i="5" s="1"/>
  <c r="J19" i="5" s="1"/>
  <c r="O18" i="5"/>
  <c r="AC15" i="5"/>
  <c r="I15" i="5"/>
  <c r="Q15" i="5" s="1"/>
  <c r="H15" i="5"/>
  <c r="AA17" i="5"/>
  <c r="M17" i="5"/>
  <c r="S17" i="5" s="1"/>
  <c r="D18" i="5" s="1"/>
  <c r="AB17" i="5"/>
  <c r="K17" i="5"/>
  <c r="R18" i="4"/>
  <c r="C19" i="4" s="1"/>
  <c r="J19" i="4" s="1"/>
  <c r="O18" i="4"/>
  <c r="AA17" i="4"/>
  <c r="M17" i="4"/>
  <c r="S17" i="4" s="1"/>
  <c r="D18" i="4" s="1"/>
  <c r="AB17" i="4"/>
  <c r="K17" i="4"/>
  <c r="P17" i="4"/>
  <c r="V17" i="4" s="1"/>
  <c r="G18" i="4" s="1"/>
  <c r="N18" i="4" s="1"/>
  <c r="T18" i="4" s="1"/>
  <c r="E19" i="4" s="1"/>
  <c r="L19" i="4" s="1"/>
  <c r="Z17" i="4"/>
  <c r="U17" i="4"/>
  <c r="F18" i="4" s="1"/>
  <c r="B16" i="4"/>
  <c r="W15" i="4"/>
  <c r="X15" i="4" s="1"/>
  <c r="M18" i="3"/>
  <c r="S18" i="3" s="1"/>
  <c r="D19" i="3" s="1"/>
  <c r="AA18" i="3"/>
  <c r="K18" i="3"/>
  <c r="AB18" i="3"/>
  <c r="Z17" i="3"/>
  <c r="R19" i="3"/>
  <c r="C20" i="3" s="1"/>
  <c r="J20" i="3" s="1"/>
  <c r="O19" i="3"/>
  <c r="U18" i="3"/>
  <c r="F19" i="3" s="1"/>
  <c r="P18" i="3"/>
  <c r="V18" i="3" s="1"/>
  <c r="G19" i="3" s="1"/>
  <c r="N19" i="3" s="1"/>
  <c r="T19" i="3" s="1"/>
  <c r="E20" i="3" s="1"/>
  <c r="L20" i="3" s="1"/>
  <c r="I16" i="3"/>
  <c r="Q16" i="3" s="1"/>
  <c r="H16" i="3"/>
  <c r="U20" i="1"/>
  <c r="F21" i="1" s="1"/>
  <c r="M21" i="1" s="1"/>
  <c r="S21" i="1" s="1"/>
  <c r="D22" i="1" s="1"/>
  <c r="K22" i="1" s="1"/>
  <c r="U21" i="1"/>
  <c r="F22" i="1" s="1"/>
  <c r="M22" i="1" s="1"/>
  <c r="S22" i="1" s="1"/>
  <c r="D23" i="1" s="1"/>
  <c r="K23" i="1" s="1"/>
  <c r="P21" i="1"/>
  <c r="V21" i="1" s="1"/>
  <c r="G22" i="1" s="1"/>
  <c r="N22" i="1" s="1"/>
  <c r="T22" i="1" s="1"/>
  <c r="E23" i="1" s="1"/>
  <c r="L23" i="1" s="1"/>
  <c r="R22" i="1"/>
  <c r="C23" i="1" s="1"/>
  <c r="J23" i="1" s="1"/>
  <c r="O22" i="1"/>
  <c r="B17" i="1"/>
  <c r="W16" i="1"/>
  <c r="X16" i="1" s="1"/>
  <c r="AE15" i="7" l="1"/>
  <c r="X15" i="7"/>
  <c r="P19" i="7"/>
  <c r="V19" i="7" s="1"/>
  <c r="G20" i="7" s="1"/>
  <c r="N20" i="7" s="1"/>
  <c r="T20" i="7" s="1"/>
  <c r="E21" i="7" s="1"/>
  <c r="L21" i="7" s="1"/>
  <c r="U19" i="7"/>
  <c r="F20" i="7" s="1"/>
  <c r="R20" i="7"/>
  <c r="C21" i="7" s="1"/>
  <c r="J21" i="7" s="1"/>
  <c r="O20" i="7"/>
  <c r="M19" i="7"/>
  <c r="S19" i="7" s="1"/>
  <c r="D20" i="7" s="1"/>
  <c r="AA19" i="7"/>
  <c r="Z18" i="7"/>
  <c r="AB19" i="7"/>
  <c r="K19" i="7"/>
  <c r="AC16" i="7"/>
  <c r="I16" i="7"/>
  <c r="Q16" i="7" s="1"/>
  <c r="H16" i="7"/>
  <c r="Z18" i="6"/>
  <c r="P19" i="6"/>
  <c r="V19" i="6" s="1"/>
  <c r="G20" i="6" s="1"/>
  <c r="N20" i="6" s="1"/>
  <c r="T20" i="6" s="1"/>
  <c r="E21" i="6" s="1"/>
  <c r="L21" i="6" s="1"/>
  <c r="U19" i="6"/>
  <c r="F20" i="6" s="1"/>
  <c r="AB19" i="6"/>
  <c r="K19" i="6"/>
  <c r="AA19" i="6"/>
  <c r="M19" i="6"/>
  <c r="S19" i="6" s="1"/>
  <c r="D20" i="6" s="1"/>
  <c r="R20" i="6"/>
  <c r="C21" i="6" s="1"/>
  <c r="J21" i="6" s="1"/>
  <c r="O20" i="6"/>
  <c r="B17" i="6"/>
  <c r="W16" i="6"/>
  <c r="Z17" i="5"/>
  <c r="K18" i="5"/>
  <c r="AB18" i="5"/>
  <c r="P18" i="5"/>
  <c r="V18" i="5" s="1"/>
  <c r="G19" i="5" s="1"/>
  <c r="N19" i="5" s="1"/>
  <c r="T19" i="5" s="1"/>
  <c r="E20" i="5" s="1"/>
  <c r="L20" i="5" s="1"/>
  <c r="U18" i="5"/>
  <c r="F19" i="5" s="1"/>
  <c r="Z18" i="5"/>
  <c r="M18" i="5"/>
  <c r="S18" i="5" s="1"/>
  <c r="D19" i="5" s="1"/>
  <c r="AA18" i="5"/>
  <c r="B16" i="5"/>
  <c r="W15" i="5"/>
  <c r="X15" i="5" s="1"/>
  <c r="R19" i="5"/>
  <c r="C20" i="5" s="1"/>
  <c r="J20" i="5" s="1"/>
  <c r="O19" i="5"/>
  <c r="U18" i="4"/>
  <c r="F19" i="4" s="1"/>
  <c r="P18" i="4"/>
  <c r="V18" i="4" s="1"/>
  <c r="G19" i="4" s="1"/>
  <c r="N19" i="4" s="1"/>
  <c r="T19" i="4" s="1"/>
  <c r="E20" i="4" s="1"/>
  <c r="L20" i="4" s="1"/>
  <c r="AC16" i="4"/>
  <c r="I16" i="4"/>
  <c r="Q16" i="4" s="1"/>
  <c r="H16" i="4"/>
  <c r="M18" i="4"/>
  <c r="S18" i="4" s="1"/>
  <c r="D19" i="4" s="1"/>
  <c r="AA18" i="4"/>
  <c r="K18" i="4"/>
  <c r="AB18" i="4"/>
  <c r="R19" i="4"/>
  <c r="C20" i="4" s="1"/>
  <c r="J20" i="4" s="1"/>
  <c r="O19" i="4"/>
  <c r="K19" i="3"/>
  <c r="AB19" i="3"/>
  <c r="M19" i="3"/>
  <c r="S19" i="3" s="1"/>
  <c r="D20" i="3" s="1"/>
  <c r="AA19" i="3"/>
  <c r="Z18" i="3"/>
  <c r="P19" i="3"/>
  <c r="V19" i="3" s="1"/>
  <c r="G20" i="3" s="1"/>
  <c r="N20" i="3" s="1"/>
  <c r="T20" i="3" s="1"/>
  <c r="E21" i="3" s="1"/>
  <c r="L21" i="3" s="1"/>
  <c r="U19" i="3"/>
  <c r="F20" i="3" s="1"/>
  <c r="W16" i="3"/>
  <c r="B17" i="3"/>
  <c r="AC17" i="3" s="1"/>
  <c r="O20" i="3"/>
  <c r="R20" i="3"/>
  <c r="C21" i="3" s="1"/>
  <c r="J21" i="3" s="1"/>
  <c r="I17" i="1"/>
  <c r="Q17" i="1" s="1"/>
  <c r="H17" i="1"/>
  <c r="P22" i="1"/>
  <c r="V22" i="1" s="1"/>
  <c r="G23" i="1" s="1"/>
  <c r="N23" i="1" s="1"/>
  <c r="T23" i="1" s="1"/>
  <c r="E24" i="1" s="1"/>
  <c r="L24" i="1" s="1"/>
  <c r="U22" i="1"/>
  <c r="F23" i="1" s="1"/>
  <c r="M23" i="1" s="1"/>
  <c r="S23" i="1" s="1"/>
  <c r="D24" i="1" s="1"/>
  <c r="K24" i="1" s="1"/>
  <c r="R23" i="1"/>
  <c r="C24" i="1" s="1"/>
  <c r="J24" i="1" s="1"/>
  <c r="O23" i="1"/>
  <c r="P20" i="7" l="1"/>
  <c r="V20" i="7" s="1"/>
  <c r="G21" i="7" s="1"/>
  <c r="N21" i="7" s="1"/>
  <c r="T21" i="7" s="1"/>
  <c r="E22" i="7" s="1"/>
  <c r="L22" i="7" s="1"/>
  <c r="U20" i="7"/>
  <c r="F21" i="7" s="1"/>
  <c r="M20" i="7"/>
  <c r="S20" i="7" s="1"/>
  <c r="D21" i="7" s="1"/>
  <c r="AA20" i="7"/>
  <c r="B17" i="7"/>
  <c r="W16" i="7"/>
  <c r="AB20" i="7"/>
  <c r="K20" i="7"/>
  <c r="R21" i="7"/>
  <c r="C22" i="7" s="1"/>
  <c r="J22" i="7" s="1"/>
  <c r="O21" i="7"/>
  <c r="Z19" i="7"/>
  <c r="Z19" i="6"/>
  <c r="AE16" i="6"/>
  <c r="X16" i="6"/>
  <c r="P20" i="6"/>
  <c r="V20" i="6" s="1"/>
  <c r="G21" i="6" s="1"/>
  <c r="N21" i="6" s="1"/>
  <c r="T21" i="6" s="1"/>
  <c r="E22" i="6" s="1"/>
  <c r="L22" i="6" s="1"/>
  <c r="Z20" i="6"/>
  <c r="U20" i="6"/>
  <c r="F21" i="6" s="1"/>
  <c r="AB20" i="6"/>
  <c r="K20" i="6"/>
  <c r="AA20" i="6"/>
  <c r="M20" i="6"/>
  <c r="S20" i="6" s="1"/>
  <c r="D21" i="6" s="1"/>
  <c r="H17" i="6"/>
  <c r="I17" i="6"/>
  <c r="Q17" i="6" s="1"/>
  <c r="AC17" i="6"/>
  <c r="R21" i="6"/>
  <c r="C22" i="6" s="1"/>
  <c r="J22" i="6" s="1"/>
  <c r="O21" i="6"/>
  <c r="X16" i="3"/>
  <c r="AE16" i="3"/>
  <c r="R20" i="5"/>
  <c r="C21" i="5" s="1"/>
  <c r="J21" i="5" s="1"/>
  <c r="O20" i="5"/>
  <c r="K19" i="5"/>
  <c r="AB19" i="5"/>
  <c r="AA19" i="5"/>
  <c r="M19" i="5"/>
  <c r="S19" i="5" s="1"/>
  <c r="D20" i="5" s="1"/>
  <c r="U19" i="5"/>
  <c r="F20" i="5" s="1"/>
  <c r="P19" i="5"/>
  <c r="V19" i="5" s="1"/>
  <c r="G20" i="5" s="1"/>
  <c r="N20" i="5" s="1"/>
  <c r="T20" i="5" s="1"/>
  <c r="E21" i="5" s="1"/>
  <c r="L21" i="5" s="1"/>
  <c r="H16" i="5"/>
  <c r="I16" i="5"/>
  <c r="Q16" i="5" s="1"/>
  <c r="AC16" i="5"/>
  <c r="U19" i="4"/>
  <c r="F20" i="4" s="1"/>
  <c r="P19" i="4"/>
  <c r="V19" i="4" s="1"/>
  <c r="G20" i="4" s="1"/>
  <c r="N20" i="4" s="1"/>
  <c r="T20" i="4" s="1"/>
  <c r="E21" i="4" s="1"/>
  <c r="L21" i="4" s="1"/>
  <c r="Z19" i="4"/>
  <c r="R20" i="4"/>
  <c r="C21" i="4" s="1"/>
  <c r="J21" i="4" s="1"/>
  <c r="O20" i="4"/>
  <c r="K19" i="4"/>
  <c r="AB19" i="4"/>
  <c r="B17" i="4"/>
  <c r="W16" i="4"/>
  <c r="X16" i="4" s="1"/>
  <c r="M19" i="4"/>
  <c r="S19" i="4" s="1"/>
  <c r="D20" i="4" s="1"/>
  <c r="AA19" i="4"/>
  <c r="Z18" i="4"/>
  <c r="Z19" i="3"/>
  <c r="M20" i="3"/>
  <c r="S20" i="3" s="1"/>
  <c r="D21" i="3" s="1"/>
  <c r="AA20" i="3"/>
  <c r="K20" i="3"/>
  <c r="AB20" i="3"/>
  <c r="U20" i="3"/>
  <c r="F21" i="3" s="1"/>
  <c r="P20" i="3"/>
  <c r="V20" i="3" s="1"/>
  <c r="G21" i="3" s="1"/>
  <c r="N21" i="3" s="1"/>
  <c r="T21" i="3" s="1"/>
  <c r="E22" i="3" s="1"/>
  <c r="L22" i="3" s="1"/>
  <c r="R21" i="3"/>
  <c r="C22" i="3" s="1"/>
  <c r="J22" i="3" s="1"/>
  <c r="O21" i="3"/>
  <c r="I17" i="3"/>
  <c r="Q17" i="3" s="1"/>
  <c r="H17" i="3"/>
  <c r="O24" i="1"/>
  <c r="R24" i="1"/>
  <c r="C25" i="1" s="1"/>
  <c r="J25" i="1" s="1"/>
  <c r="U23" i="1"/>
  <c r="F24" i="1" s="1"/>
  <c r="M24" i="1" s="1"/>
  <c r="S24" i="1" s="1"/>
  <c r="D25" i="1" s="1"/>
  <c r="K25" i="1" s="1"/>
  <c r="P23" i="1"/>
  <c r="V23" i="1" s="1"/>
  <c r="G24" i="1" s="1"/>
  <c r="N24" i="1" s="1"/>
  <c r="T24" i="1" s="1"/>
  <c r="E25" i="1" s="1"/>
  <c r="L25" i="1" s="1"/>
  <c r="W17" i="1"/>
  <c r="X17" i="1" s="1"/>
  <c r="B18" i="1"/>
  <c r="P21" i="7" l="1"/>
  <c r="V21" i="7" s="1"/>
  <c r="G22" i="7" s="1"/>
  <c r="N22" i="7" s="1"/>
  <c r="T22" i="7" s="1"/>
  <c r="E23" i="7" s="1"/>
  <c r="L23" i="7" s="1"/>
  <c r="U21" i="7"/>
  <c r="F22" i="7" s="1"/>
  <c r="AC17" i="7"/>
  <c r="I17" i="7"/>
  <c r="Q17" i="7" s="1"/>
  <c r="H17" i="7"/>
  <c r="R22" i="7"/>
  <c r="C23" i="7" s="1"/>
  <c r="J23" i="7" s="1"/>
  <c r="O22" i="7"/>
  <c r="AE16" i="7"/>
  <c r="X16" i="7"/>
  <c r="AB21" i="7"/>
  <c r="K21" i="7"/>
  <c r="M21" i="7"/>
  <c r="S21" i="7" s="1"/>
  <c r="D22" i="7" s="1"/>
  <c r="AA21" i="7"/>
  <c r="Z20" i="7"/>
  <c r="R22" i="6"/>
  <c r="C23" i="6" s="1"/>
  <c r="J23" i="6" s="1"/>
  <c r="O22" i="6"/>
  <c r="W17" i="6"/>
  <c r="B18" i="6"/>
  <c r="AA21" i="6"/>
  <c r="M21" i="6"/>
  <c r="S21" i="6" s="1"/>
  <c r="D22" i="6" s="1"/>
  <c r="P21" i="6"/>
  <c r="V21" i="6" s="1"/>
  <c r="G22" i="6" s="1"/>
  <c r="N22" i="6" s="1"/>
  <c r="T22" i="6" s="1"/>
  <c r="E23" i="6" s="1"/>
  <c r="L23" i="6" s="1"/>
  <c r="U21" i="6"/>
  <c r="F22" i="6" s="1"/>
  <c r="AB21" i="6"/>
  <c r="K21" i="6"/>
  <c r="Z19" i="5"/>
  <c r="AA20" i="5"/>
  <c r="M20" i="5"/>
  <c r="S20" i="5" s="1"/>
  <c r="D21" i="5" s="1"/>
  <c r="U20" i="5"/>
  <c r="F21" i="5" s="1"/>
  <c r="P20" i="5"/>
  <c r="V20" i="5" s="1"/>
  <c r="G21" i="5" s="1"/>
  <c r="N21" i="5" s="1"/>
  <c r="T21" i="5" s="1"/>
  <c r="E22" i="5" s="1"/>
  <c r="L22" i="5" s="1"/>
  <c r="B17" i="5"/>
  <c r="W16" i="5"/>
  <c r="X16" i="5" s="1"/>
  <c r="K20" i="5"/>
  <c r="AB20" i="5"/>
  <c r="O21" i="5"/>
  <c r="R21" i="5"/>
  <c r="C22" i="5" s="1"/>
  <c r="J22" i="5" s="1"/>
  <c r="AB20" i="4"/>
  <c r="K20" i="4"/>
  <c r="AC17" i="4"/>
  <c r="I17" i="4"/>
  <c r="Q17" i="4" s="1"/>
  <c r="H17" i="4"/>
  <c r="U20" i="4"/>
  <c r="F21" i="4" s="1"/>
  <c r="P20" i="4"/>
  <c r="V20" i="4" s="1"/>
  <c r="G21" i="4" s="1"/>
  <c r="N21" i="4" s="1"/>
  <c r="T21" i="4" s="1"/>
  <c r="E22" i="4" s="1"/>
  <c r="L22" i="4" s="1"/>
  <c r="R21" i="4"/>
  <c r="C22" i="4" s="1"/>
  <c r="J22" i="4" s="1"/>
  <c r="O21" i="4"/>
  <c r="AA20" i="4"/>
  <c r="M20" i="4"/>
  <c r="S20" i="4" s="1"/>
  <c r="D21" i="4" s="1"/>
  <c r="M21" i="3"/>
  <c r="S21" i="3" s="1"/>
  <c r="D22" i="3" s="1"/>
  <c r="AA21" i="3"/>
  <c r="K21" i="3"/>
  <c r="AB21" i="3"/>
  <c r="Z20" i="3"/>
  <c r="U21" i="3"/>
  <c r="F22" i="3" s="1"/>
  <c r="P21" i="3"/>
  <c r="V21" i="3" s="1"/>
  <c r="G22" i="3" s="1"/>
  <c r="N22" i="3" s="1"/>
  <c r="T22" i="3" s="1"/>
  <c r="E23" i="3" s="1"/>
  <c r="L23" i="3" s="1"/>
  <c r="B18" i="3"/>
  <c r="AC18" i="3" s="1"/>
  <c r="W17" i="3"/>
  <c r="R22" i="3"/>
  <c r="C23" i="3" s="1"/>
  <c r="J23" i="3" s="1"/>
  <c r="O22" i="3"/>
  <c r="H18" i="1"/>
  <c r="I18" i="1"/>
  <c r="Q18" i="1" s="1"/>
  <c r="O25" i="1"/>
  <c r="R25" i="1"/>
  <c r="C26" i="1" s="1"/>
  <c r="J26" i="1" s="1"/>
  <c r="U24" i="1"/>
  <c r="F25" i="1" s="1"/>
  <c r="M25" i="1" s="1"/>
  <c r="S25" i="1" s="1"/>
  <c r="D26" i="1" s="1"/>
  <c r="K26" i="1" s="1"/>
  <c r="P24" i="1"/>
  <c r="V24" i="1" s="1"/>
  <c r="G25" i="1" s="1"/>
  <c r="N25" i="1" s="1"/>
  <c r="T25" i="1" s="1"/>
  <c r="E26" i="1" s="1"/>
  <c r="L26" i="1" s="1"/>
  <c r="AB22" i="7" l="1"/>
  <c r="K22" i="7"/>
  <c r="R23" i="7"/>
  <c r="C24" i="7" s="1"/>
  <c r="J24" i="7" s="1"/>
  <c r="O23" i="7"/>
  <c r="M22" i="7"/>
  <c r="S22" i="7" s="1"/>
  <c r="D23" i="7" s="1"/>
  <c r="AA22" i="7"/>
  <c r="P22" i="7"/>
  <c r="V22" i="7" s="1"/>
  <c r="G23" i="7" s="1"/>
  <c r="N23" i="7" s="1"/>
  <c r="T23" i="7" s="1"/>
  <c r="E24" i="7" s="1"/>
  <c r="L24" i="7" s="1"/>
  <c r="U22" i="7"/>
  <c r="F23" i="7" s="1"/>
  <c r="B18" i="7"/>
  <c r="W17" i="7"/>
  <c r="Z21" i="7"/>
  <c r="Z21" i="6"/>
  <c r="I18" i="6"/>
  <c r="Q18" i="6" s="1"/>
  <c r="H18" i="6"/>
  <c r="AC18" i="6"/>
  <c r="P22" i="6"/>
  <c r="V22" i="6" s="1"/>
  <c r="G23" i="6" s="1"/>
  <c r="N23" i="6" s="1"/>
  <c r="T23" i="6" s="1"/>
  <c r="E24" i="6" s="1"/>
  <c r="L24" i="6" s="1"/>
  <c r="Z22" i="6"/>
  <c r="U22" i="6"/>
  <c r="F23" i="6" s="1"/>
  <c r="AA22" i="6"/>
  <c r="M22" i="6"/>
  <c r="S22" i="6" s="1"/>
  <c r="D23" i="6" s="1"/>
  <c r="K22" i="6"/>
  <c r="AB22" i="6"/>
  <c r="AE17" i="6"/>
  <c r="X17" i="6"/>
  <c r="R23" i="6"/>
  <c r="C24" i="6" s="1"/>
  <c r="J24" i="6" s="1"/>
  <c r="O23" i="6"/>
  <c r="X17" i="3"/>
  <c r="AE17" i="3"/>
  <c r="U21" i="5"/>
  <c r="F22" i="5" s="1"/>
  <c r="P21" i="5"/>
  <c r="V21" i="5" s="1"/>
  <c r="G22" i="5" s="1"/>
  <c r="N22" i="5" s="1"/>
  <c r="T22" i="5" s="1"/>
  <c r="E23" i="5" s="1"/>
  <c r="L23" i="5" s="1"/>
  <c r="I17" i="5"/>
  <c r="Q17" i="5" s="1"/>
  <c r="H17" i="5"/>
  <c r="AC17" i="5"/>
  <c r="K21" i="5"/>
  <c r="AB21" i="5"/>
  <c r="R22" i="5"/>
  <c r="C23" i="5" s="1"/>
  <c r="J23" i="5" s="1"/>
  <c r="O22" i="5"/>
  <c r="Z20" i="5"/>
  <c r="M21" i="5"/>
  <c r="S21" i="5" s="1"/>
  <c r="D22" i="5" s="1"/>
  <c r="AA21" i="5"/>
  <c r="AB21" i="4"/>
  <c r="K21" i="4"/>
  <c r="U21" i="4"/>
  <c r="F22" i="4" s="1"/>
  <c r="P21" i="4"/>
  <c r="V21" i="4" s="1"/>
  <c r="G22" i="4" s="1"/>
  <c r="N22" i="4" s="1"/>
  <c r="T22" i="4" s="1"/>
  <c r="E23" i="4" s="1"/>
  <c r="L23" i="4" s="1"/>
  <c r="R22" i="4"/>
  <c r="C23" i="4" s="1"/>
  <c r="J23" i="4" s="1"/>
  <c r="O22" i="4"/>
  <c r="Z20" i="4"/>
  <c r="AA21" i="4"/>
  <c r="M21" i="4"/>
  <c r="S21" i="4" s="1"/>
  <c r="D22" i="4" s="1"/>
  <c r="W17" i="4"/>
  <c r="X17" i="4" s="1"/>
  <c r="B18" i="4"/>
  <c r="Z21" i="3"/>
  <c r="K22" i="3"/>
  <c r="AB22" i="3"/>
  <c r="M22" i="3"/>
  <c r="S22" i="3" s="1"/>
  <c r="D23" i="3" s="1"/>
  <c r="AA22" i="3"/>
  <c r="U22" i="3"/>
  <c r="F23" i="3" s="1"/>
  <c r="P22" i="3"/>
  <c r="V22" i="3" s="1"/>
  <c r="G23" i="3" s="1"/>
  <c r="N23" i="3" s="1"/>
  <c r="T23" i="3" s="1"/>
  <c r="E24" i="3" s="1"/>
  <c r="L24" i="3" s="1"/>
  <c r="R23" i="3"/>
  <c r="C24" i="3" s="1"/>
  <c r="J24" i="3" s="1"/>
  <c r="O23" i="3"/>
  <c r="I18" i="3"/>
  <c r="Q18" i="3" s="1"/>
  <c r="H18" i="3"/>
  <c r="R26" i="1"/>
  <c r="C27" i="1" s="1"/>
  <c r="J27" i="1" s="1"/>
  <c r="O26" i="1"/>
  <c r="P25" i="1"/>
  <c r="V25" i="1" s="1"/>
  <c r="G26" i="1" s="1"/>
  <c r="N26" i="1" s="1"/>
  <c r="T26" i="1" s="1"/>
  <c r="E27" i="1" s="1"/>
  <c r="L27" i="1" s="1"/>
  <c r="U25" i="1"/>
  <c r="F26" i="1" s="1"/>
  <c r="M26" i="1" s="1"/>
  <c r="S26" i="1" s="1"/>
  <c r="D27" i="1" s="1"/>
  <c r="K27" i="1" s="1"/>
  <c r="B19" i="1"/>
  <c r="W18" i="1"/>
  <c r="X18" i="1" s="1"/>
  <c r="AE17" i="7" l="1"/>
  <c r="X17" i="7"/>
  <c r="AC18" i="7"/>
  <c r="I18" i="7"/>
  <c r="Q18" i="7" s="1"/>
  <c r="H18" i="7"/>
  <c r="M23" i="7"/>
  <c r="S23" i="7" s="1"/>
  <c r="D24" i="7" s="1"/>
  <c r="AA23" i="7"/>
  <c r="Z22" i="7"/>
  <c r="AB23" i="7"/>
  <c r="K23" i="7"/>
  <c r="P23" i="7"/>
  <c r="V23" i="7" s="1"/>
  <c r="G24" i="7" s="1"/>
  <c r="N24" i="7" s="1"/>
  <c r="T24" i="7" s="1"/>
  <c r="E25" i="7" s="1"/>
  <c r="L25" i="7" s="1"/>
  <c r="U23" i="7"/>
  <c r="F24" i="7" s="1"/>
  <c r="R24" i="7"/>
  <c r="C25" i="7" s="1"/>
  <c r="J25" i="7" s="1"/>
  <c r="O24" i="7"/>
  <c r="R24" i="6"/>
  <c r="C25" i="6" s="1"/>
  <c r="J25" i="6" s="1"/>
  <c r="O24" i="6"/>
  <c r="K23" i="6"/>
  <c r="AB23" i="6"/>
  <c r="P23" i="6"/>
  <c r="V23" i="6" s="1"/>
  <c r="G24" i="6" s="1"/>
  <c r="N24" i="6" s="1"/>
  <c r="T24" i="6" s="1"/>
  <c r="E25" i="6" s="1"/>
  <c r="L25" i="6" s="1"/>
  <c r="U23" i="6"/>
  <c r="F24" i="6" s="1"/>
  <c r="Z23" i="6"/>
  <c r="M23" i="6"/>
  <c r="S23" i="6" s="1"/>
  <c r="D24" i="6" s="1"/>
  <c r="AA23" i="6"/>
  <c r="B19" i="6"/>
  <c r="W18" i="6"/>
  <c r="Z21" i="5"/>
  <c r="K22" i="5"/>
  <c r="AB22" i="5"/>
  <c r="U22" i="5"/>
  <c r="F23" i="5" s="1"/>
  <c r="P22" i="5"/>
  <c r="V22" i="5" s="1"/>
  <c r="G23" i="5" s="1"/>
  <c r="N23" i="5" s="1"/>
  <c r="T23" i="5" s="1"/>
  <c r="E24" i="5" s="1"/>
  <c r="L24" i="5" s="1"/>
  <c r="O23" i="5"/>
  <c r="R23" i="5"/>
  <c r="C24" i="5" s="1"/>
  <c r="J24" i="5" s="1"/>
  <c r="B18" i="5"/>
  <c r="W17" i="5"/>
  <c r="X17" i="5" s="1"/>
  <c r="M22" i="5"/>
  <c r="S22" i="5" s="1"/>
  <c r="D23" i="5" s="1"/>
  <c r="AA22" i="5"/>
  <c r="I18" i="4"/>
  <c r="Q18" i="4" s="1"/>
  <c r="H18" i="4"/>
  <c r="AC18" i="4"/>
  <c r="U22" i="4"/>
  <c r="F23" i="4" s="1"/>
  <c r="P22" i="4"/>
  <c r="V22" i="4" s="1"/>
  <c r="G23" i="4" s="1"/>
  <c r="N23" i="4" s="1"/>
  <c r="T23" i="4" s="1"/>
  <c r="E24" i="4" s="1"/>
  <c r="L24" i="4" s="1"/>
  <c r="R23" i="4"/>
  <c r="C24" i="4" s="1"/>
  <c r="J24" i="4" s="1"/>
  <c r="O23" i="4"/>
  <c r="AB22" i="4"/>
  <c r="K22" i="4"/>
  <c r="Z21" i="4"/>
  <c r="AA22" i="4"/>
  <c r="M22" i="4"/>
  <c r="S22" i="4" s="1"/>
  <c r="D23" i="4" s="1"/>
  <c r="M23" i="3"/>
  <c r="S23" i="3" s="1"/>
  <c r="D24" i="3" s="1"/>
  <c r="AA23" i="3"/>
  <c r="K23" i="3"/>
  <c r="AB23" i="3"/>
  <c r="Z22" i="3"/>
  <c r="U23" i="3"/>
  <c r="F24" i="3" s="1"/>
  <c r="P23" i="3"/>
  <c r="V23" i="3" s="1"/>
  <c r="G24" i="3" s="1"/>
  <c r="N24" i="3" s="1"/>
  <c r="T24" i="3" s="1"/>
  <c r="E25" i="3" s="1"/>
  <c r="L25" i="3" s="1"/>
  <c r="W18" i="3"/>
  <c r="B19" i="3"/>
  <c r="AC19" i="3" s="1"/>
  <c r="O24" i="3"/>
  <c r="R24" i="3"/>
  <c r="C25" i="3" s="1"/>
  <c r="J25" i="3" s="1"/>
  <c r="U26" i="1"/>
  <c r="F27" i="1" s="1"/>
  <c r="M27" i="1" s="1"/>
  <c r="S27" i="1" s="1"/>
  <c r="D28" i="1" s="1"/>
  <c r="K28" i="1" s="1"/>
  <c r="P26" i="1"/>
  <c r="V26" i="1" s="1"/>
  <c r="G27" i="1" s="1"/>
  <c r="N27" i="1" s="1"/>
  <c r="T27" i="1" s="1"/>
  <c r="E28" i="1" s="1"/>
  <c r="L28" i="1" s="1"/>
  <c r="I19" i="1"/>
  <c r="Q19" i="1" s="1"/>
  <c r="H19" i="1"/>
  <c r="O27" i="1"/>
  <c r="R27" i="1"/>
  <c r="C28" i="1" s="1"/>
  <c r="J28" i="1" s="1"/>
  <c r="R25" i="7" l="1"/>
  <c r="C26" i="7" s="1"/>
  <c r="J26" i="7" s="1"/>
  <c r="O25" i="7"/>
  <c r="P24" i="7"/>
  <c r="V24" i="7" s="1"/>
  <c r="G25" i="7" s="1"/>
  <c r="N25" i="7" s="1"/>
  <c r="T25" i="7" s="1"/>
  <c r="E26" i="7" s="1"/>
  <c r="L26" i="7" s="1"/>
  <c r="U24" i="7"/>
  <c r="F25" i="7" s="1"/>
  <c r="M24" i="7"/>
  <c r="S24" i="7" s="1"/>
  <c r="D25" i="7" s="1"/>
  <c r="AA24" i="7"/>
  <c r="Z23" i="7"/>
  <c r="AB24" i="7"/>
  <c r="K24" i="7"/>
  <c r="B19" i="7"/>
  <c r="W18" i="7"/>
  <c r="AE18" i="6"/>
  <c r="X18" i="6"/>
  <c r="AC19" i="6"/>
  <c r="H19" i="6"/>
  <c r="I19" i="6"/>
  <c r="Q19" i="6" s="1"/>
  <c r="K24" i="6"/>
  <c r="AB24" i="6"/>
  <c r="M24" i="6"/>
  <c r="S24" i="6" s="1"/>
  <c r="D25" i="6" s="1"/>
  <c r="AA24" i="6"/>
  <c r="P24" i="6"/>
  <c r="V24" i="6" s="1"/>
  <c r="G25" i="6" s="1"/>
  <c r="N25" i="6" s="1"/>
  <c r="T25" i="6" s="1"/>
  <c r="E26" i="6" s="1"/>
  <c r="L26" i="6" s="1"/>
  <c r="U24" i="6"/>
  <c r="F25" i="6" s="1"/>
  <c r="R25" i="6"/>
  <c r="C26" i="6" s="1"/>
  <c r="J26" i="6" s="1"/>
  <c r="O25" i="6"/>
  <c r="X18" i="3"/>
  <c r="AE18" i="3"/>
  <c r="Z22" i="4"/>
  <c r="K23" i="5"/>
  <c r="AB23" i="5"/>
  <c r="I18" i="5"/>
  <c r="Q18" i="5" s="1"/>
  <c r="H18" i="5"/>
  <c r="AC18" i="5"/>
  <c r="O24" i="5"/>
  <c r="R24" i="5"/>
  <c r="C25" i="5" s="1"/>
  <c r="J25" i="5" s="1"/>
  <c r="U23" i="5"/>
  <c r="F24" i="5" s="1"/>
  <c r="P23" i="5"/>
  <c r="V23" i="5" s="1"/>
  <c r="G24" i="5" s="1"/>
  <c r="N24" i="5" s="1"/>
  <c r="T24" i="5" s="1"/>
  <c r="E25" i="5" s="1"/>
  <c r="L25" i="5" s="1"/>
  <c r="Z22" i="5"/>
  <c r="M23" i="5"/>
  <c r="S23" i="5" s="1"/>
  <c r="D24" i="5" s="1"/>
  <c r="AA23" i="5"/>
  <c r="AB23" i="4"/>
  <c r="K23" i="4"/>
  <c r="U23" i="4"/>
  <c r="F24" i="4" s="1"/>
  <c r="P23" i="4"/>
  <c r="V23" i="4" s="1"/>
  <c r="G24" i="4" s="1"/>
  <c r="N24" i="4" s="1"/>
  <c r="T24" i="4" s="1"/>
  <c r="E25" i="4" s="1"/>
  <c r="L25" i="4" s="1"/>
  <c r="R24" i="4"/>
  <c r="C25" i="4" s="1"/>
  <c r="J25" i="4" s="1"/>
  <c r="O24" i="4"/>
  <c r="AA23" i="4"/>
  <c r="M23" i="4"/>
  <c r="S23" i="4" s="1"/>
  <c r="D24" i="4" s="1"/>
  <c r="B19" i="4"/>
  <c r="W18" i="4"/>
  <c r="X18" i="4" s="1"/>
  <c r="M24" i="3"/>
  <c r="S24" i="3" s="1"/>
  <c r="D25" i="3" s="1"/>
  <c r="AA24" i="3"/>
  <c r="K24" i="3"/>
  <c r="AB24" i="3"/>
  <c r="Z23" i="3"/>
  <c r="P24" i="3"/>
  <c r="V24" i="3" s="1"/>
  <c r="G25" i="3" s="1"/>
  <c r="N25" i="3" s="1"/>
  <c r="T25" i="3" s="1"/>
  <c r="E26" i="3" s="1"/>
  <c r="L26" i="3" s="1"/>
  <c r="U24" i="3"/>
  <c r="F25" i="3" s="1"/>
  <c r="R25" i="3"/>
  <c r="C26" i="3" s="1"/>
  <c r="J26" i="3" s="1"/>
  <c r="O25" i="3"/>
  <c r="I19" i="3"/>
  <c r="Q19" i="3" s="1"/>
  <c r="H19" i="3"/>
  <c r="R28" i="1"/>
  <c r="C29" i="1" s="1"/>
  <c r="J29" i="1" s="1"/>
  <c r="O28" i="1"/>
  <c r="U27" i="1"/>
  <c r="F28" i="1" s="1"/>
  <c r="M28" i="1" s="1"/>
  <c r="S28" i="1" s="1"/>
  <c r="D29" i="1" s="1"/>
  <c r="K29" i="1" s="1"/>
  <c r="P27" i="1"/>
  <c r="V27" i="1" s="1"/>
  <c r="G28" i="1" s="1"/>
  <c r="N28" i="1" s="1"/>
  <c r="T28" i="1" s="1"/>
  <c r="E29" i="1" s="1"/>
  <c r="L29" i="1" s="1"/>
  <c r="B20" i="1"/>
  <c r="W19" i="1"/>
  <c r="X19" i="1" s="1"/>
  <c r="AE18" i="7" l="1"/>
  <c r="X18" i="7"/>
  <c r="P25" i="7"/>
  <c r="V25" i="7" s="1"/>
  <c r="G26" i="7" s="1"/>
  <c r="N26" i="7" s="1"/>
  <c r="T26" i="7" s="1"/>
  <c r="E27" i="7" s="1"/>
  <c r="L27" i="7" s="1"/>
  <c r="U25" i="7"/>
  <c r="F26" i="7" s="1"/>
  <c r="AC19" i="7"/>
  <c r="I19" i="7"/>
  <c r="Q19" i="7" s="1"/>
  <c r="H19" i="7"/>
  <c r="AB25" i="7"/>
  <c r="K25" i="7"/>
  <c r="M25" i="7"/>
  <c r="S25" i="7" s="1"/>
  <c r="D26" i="7" s="1"/>
  <c r="AA25" i="7"/>
  <c r="Z24" i="7"/>
  <c r="R26" i="7"/>
  <c r="C27" i="7" s="1"/>
  <c r="J27" i="7" s="1"/>
  <c r="O26" i="7"/>
  <c r="Z24" i="6"/>
  <c r="P25" i="6"/>
  <c r="V25" i="6" s="1"/>
  <c r="G26" i="6" s="1"/>
  <c r="N26" i="6" s="1"/>
  <c r="T26" i="6" s="1"/>
  <c r="E27" i="6" s="1"/>
  <c r="L27" i="6" s="1"/>
  <c r="U25" i="6"/>
  <c r="F26" i="6" s="1"/>
  <c r="AA25" i="6"/>
  <c r="M25" i="6"/>
  <c r="S25" i="6" s="1"/>
  <c r="D26" i="6" s="1"/>
  <c r="R26" i="6"/>
  <c r="C27" i="6" s="1"/>
  <c r="J27" i="6" s="1"/>
  <c r="O26" i="6"/>
  <c r="AB25" i="6"/>
  <c r="K25" i="6"/>
  <c r="W19" i="6"/>
  <c r="B20" i="6"/>
  <c r="O25" i="5"/>
  <c r="R25" i="5"/>
  <c r="C26" i="5" s="1"/>
  <c r="J26" i="5" s="1"/>
  <c r="K24" i="5"/>
  <c r="AB24" i="5"/>
  <c r="AA24" i="5"/>
  <c r="M24" i="5"/>
  <c r="S24" i="5" s="1"/>
  <c r="D25" i="5" s="1"/>
  <c r="Z23" i="5"/>
  <c r="U24" i="5"/>
  <c r="F25" i="5" s="1"/>
  <c r="P24" i="5"/>
  <c r="V24" i="5" s="1"/>
  <c r="G25" i="5" s="1"/>
  <c r="N25" i="5" s="1"/>
  <c r="T25" i="5" s="1"/>
  <c r="E26" i="5" s="1"/>
  <c r="L26" i="5" s="1"/>
  <c r="B19" i="5"/>
  <c r="W18" i="5"/>
  <c r="X18" i="5" s="1"/>
  <c r="K24" i="4"/>
  <c r="AB24" i="4"/>
  <c r="U24" i="4"/>
  <c r="F25" i="4" s="1"/>
  <c r="P24" i="4"/>
  <c r="V24" i="4" s="1"/>
  <c r="G25" i="4" s="1"/>
  <c r="N25" i="4" s="1"/>
  <c r="T25" i="4" s="1"/>
  <c r="E26" i="4" s="1"/>
  <c r="L26" i="4" s="1"/>
  <c r="R25" i="4"/>
  <c r="C26" i="4" s="1"/>
  <c r="J26" i="4" s="1"/>
  <c r="O25" i="4"/>
  <c r="I19" i="4"/>
  <c r="Q19" i="4" s="1"/>
  <c r="AC19" i="4"/>
  <c r="H19" i="4"/>
  <c r="AA24" i="4"/>
  <c r="M24" i="4"/>
  <c r="S24" i="4" s="1"/>
  <c r="D25" i="4" s="1"/>
  <c r="Z23" i="4"/>
  <c r="Z24" i="3"/>
  <c r="K25" i="3"/>
  <c r="AB25" i="3"/>
  <c r="M25" i="3"/>
  <c r="S25" i="3" s="1"/>
  <c r="D26" i="3" s="1"/>
  <c r="AA25" i="3"/>
  <c r="B20" i="3"/>
  <c r="AC20" i="3" s="1"/>
  <c r="W19" i="3"/>
  <c r="U25" i="3"/>
  <c r="F26" i="3" s="1"/>
  <c r="P25" i="3"/>
  <c r="V25" i="3" s="1"/>
  <c r="G26" i="3" s="1"/>
  <c r="N26" i="3" s="1"/>
  <c r="T26" i="3" s="1"/>
  <c r="E27" i="3" s="1"/>
  <c r="L27" i="3" s="1"/>
  <c r="R26" i="3"/>
  <c r="C27" i="3" s="1"/>
  <c r="J27" i="3" s="1"/>
  <c r="O26" i="3"/>
  <c r="H20" i="1"/>
  <c r="I20" i="1"/>
  <c r="Q20" i="1" s="1"/>
  <c r="P28" i="1"/>
  <c r="V28" i="1" s="1"/>
  <c r="G29" i="1" s="1"/>
  <c r="N29" i="1" s="1"/>
  <c r="T29" i="1" s="1"/>
  <c r="E30" i="1" s="1"/>
  <c r="L30" i="1" s="1"/>
  <c r="U28" i="1"/>
  <c r="F29" i="1" s="1"/>
  <c r="M29" i="1" s="1"/>
  <c r="S29" i="1" s="1"/>
  <c r="D30" i="1" s="1"/>
  <c r="K30" i="1" s="1"/>
  <c r="R29" i="1"/>
  <c r="C30" i="1" s="1"/>
  <c r="J30" i="1" s="1"/>
  <c r="O29" i="1"/>
  <c r="AB26" i="7" l="1"/>
  <c r="K26" i="7"/>
  <c r="R27" i="7"/>
  <c r="C28" i="7" s="1"/>
  <c r="J28" i="7" s="1"/>
  <c r="O27" i="7"/>
  <c r="B20" i="7"/>
  <c r="W19" i="7"/>
  <c r="M26" i="7"/>
  <c r="S26" i="7" s="1"/>
  <c r="D27" i="7" s="1"/>
  <c r="AA26" i="7"/>
  <c r="Z25" i="7"/>
  <c r="P26" i="7"/>
  <c r="V26" i="7" s="1"/>
  <c r="G27" i="7" s="1"/>
  <c r="N27" i="7" s="1"/>
  <c r="T27" i="7" s="1"/>
  <c r="E28" i="7" s="1"/>
  <c r="L28" i="7" s="1"/>
  <c r="U26" i="7"/>
  <c r="F27" i="7" s="1"/>
  <c r="Z25" i="6"/>
  <c r="P26" i="6"/>
  <c r="V26" i="6" s="1"/>
  <c r="G27" i="6" s="1"/>
  <c r="N27" i="6" s="1"/>
  <c r="T27" i="6" s="1"/>
  <c r="E28" i="6" s="1"/>
  <c r="L28" i="6" s="1"/>
  <c r="U26" i="6"/>
  <c r="F27" i="6" s="1"/>
  <c r="AB26" i="6"/>
  <c r="K26" i="6"/>
  <c r="AA26" i="6"/>
  <c r="M26" i="6"/>
  <c r="S26" i="6" s="1"/>
  <c r="D27" i="6" s="1"/>
  <c r="AC20" i="6"/>
  <c r="H20" i="6"/>
  <c r="I20" i="6"/>
  <c r="Q20" i="6" s="1"/>
  <c r="X19" i="6"/>
  <c r="AE19" i="6"/>
  <c r="R27" i="6"/>
  <c r="C28" i="6" s="1"/>
  <c r="J28" i="6" s="1"/>
  <c r="O27" i="6"/>
  <c r="X19" i="3"/>
  <c r="AE19" i="3"/>
  <c r="H19" i="5"/>
  <c r="I19" i="5"/>
  <c r="Q19" i="5" s="1"/>
  <c r="AC19" i="5"/>
  <c r="AA25" i="5"/>
  <c r="M25" i="5"/>
  <c r="S25" i="5" s="1"/>
  <c r="D26" i="5" s="1"/>
  <c r="R26" i="5"/>
  <c r="C27" i="5" s="1"/>
  <c r="J27" i="5" s="1"/>
  <c r="O26" i="5"/>
  <c r="Z24" i="5"/>
  <c r="AB25" i="5"/>
  <c r="K25" i="5"/>
  <c r="P25" i="5"/>
  <c r="V25" i="5" s="1"/>
  <c r="G26" i="5" s="1"/>
  <c r="N26" i="5" s="1"/>
  <c r="T26" i="5" s="1"/>
  <c r="E27" i="5" s="1"/>
  <c r="L27" i="5" s="1"/>
  <c r="U25" i="5"/>
  <c r="F26" i="5" s="1"/>
  <c r="B20" i="4"/>
  <c r="W19" i="4"/>
  <c r="X19" i="4" s="1"/>
  <c r="AB25" i="4"/>
  <c r="K25" i="4"/>
  <c r="P25" i="4"/>
  <c r="V25" i="4" s="1"/>
  <c r="G26" i="4" s="1"/>
  <c r="N26" i="4" s="1"/>
  <c r="T26" i="4" s="1"/>
  <c r="E27" i="4" s="1"/>
  <c r="L27" i="4" s="1"/>
  <c r="U25" i="4"/>
  <c r="F26" i="4" s="1"/>
  <c r="R26" i="4"/>
  <c r="C27" i="4" s="1"/>
  <c r="J27" i="4" s="1"/>
  <c r="O26" i="4"/>
  <c r="AA25" i="4"/>
  <c r="M25" i="4"/>
  <c r="S25" i="4" s="1"/>
  <c r="D26" i="4" s="1"/>
  <c r="Z24" i="4"/>
  <c r="Z25" i="3"/>
  <c r="M26" i="3"/>
  <c r="S26" i="3" s="1"/>
  <c r="D27" i="3" s="1"/>
  <c r="AA26" i="3"/>
  <c r="K26" i="3"/>
  <c r="AB26" i="3"/>
  <c r="U26" i="3"/>
  <c r="F27" i="3" s="1"/>
  <c r="P26" i="3"/>
  <c r="V26" i="3" s="1"/>
  <c r="G27" i="3" s="1"/>
  <c r="N27" i="3" s="1"/>
  <c r="T27" i="3" s="1"/>
  <c r="E28" i="3" s="1"/>
  <c r="L28" i="3" s="1"/>
  <c r="O27" i="3"/>
  <c r="R27" i="3"/>
  <c r="C28" i="3" s="1"/>
  <c r="J28" i="3" s="1"/>
  <c r="I20" i="3"/>
  <c r="Q20" i="3" s="1"/>
  <c r="H20" i="3"/>
  <c r="R30" i="1"/>
  <c r="C31" i="1" s="1"/>
  <c r="J31" i="1" s="1"/>
  <c r="O30" i="1"/>
  <c r="U29" i="1"/>
  <c r="F30" i="1" s="1"/>
  <c r="M30" i="1" s="1"/>
  <c r="S30" i="1" s="1"/>
  <c r="D31" i="1" s="1"/>
  <c r="K31" i="1" s="1"/>
  <c r="P29" i="1"/>
  <c r="V29" i="1" s="1"/>
  <c r="G30" i="1" s="1"/>
  <c r="N30" i="1" s="1"/>
  <c r="T30" i="1" s="1"/>
  <c r="E31" i="1" s="1"/>
  <c r="L31" i="1" s="1"/>
  <c r="W20" i="1"/>
  <c r="X20" i="1" s="1"/>
  <c r="B21" i="1"/>
  <c r="Z26" i="7" l="1"/>
  <c r="AE19" i="7"/>
  <c r="X19" i="7"/>
  <c r="AC20" i="7"/>
  <c r="I20" i="7"/>
  <c r="Q20" i="7" s="1"/>
  <c r="H20" i="7"/>
  <c r="R28" i="7"/>
  <c r="C29" i="7" s="1"/>
  <c r="J29" i="7" s="1"/>
  <c r="O28" i="7"/>
  <c r="M27" i="7"/>
  <c r="S27" i="7" s="1"/>
  <c r="D28" i="7" s="1"/>
  <c r="AA27" i="7"/>
  <c r="AB27" i="7"/>
  <c r="K27" i="7"/>
  <c r="P27" i="7"/>
  <c r="V27" i="7" s="1"/>
  <c r="G28" i="7" s="1"/>
  <c r="N28" i="7" s="1"/>
  <c r="T28" i="7" s="1"/>
  <c r="E29" i="7" s="1"/>
  <c r="L29" i="7" s="1"/>
  <c r="U27" i="7"/>
  <c r="F28" i="7" s="1"/>
  <c r="Z26" i="6"/>
  <c r="W20" i="6"/>
  <c r="B21" i="6"/>
  <c r="AA27" i="6"/>
  <c r="M27" i="6"/>
  <c r="S27" i="6" s="1"/>
  <c r="D28" i="6" s="1"/>
  <c r="R28" i="6"/>
  <c r="C29" i="6" s="1"/>
  <c r="J29" i="6" s="1"/>
  <c r="O28" i="6"/>
  <c r="AB27" i="6"/>
  <c r="K27" i="6"/>
  <c r="P27" i="6"/>
  <c r="V27" i="6" s="1"/>
  <c r="G28" i="6" s="1"/>
  <c r="N28" i="6" s="1"/>
  <c r="T28" i="6" s="1"/>
  <c r="E29" i="6" s="1"/>
  <c r="L29" i="6" s="1"/>
  <c r="U27" i="6"/>
  <c r="F28" i="6" s="1"/>
  <c r="AA26" i="5"/>
  <c r="M26" i="5"/>
  <c r="S26" i="5" s="1"/>
  <c r="D27" i="5" s="1"/>
  <c r="Z25" i="5"/>
  <c r="P26" i="5"/>
  <c r="V26" i="5" s="1"/>
  <c r="G27" i="5" s="1"/>
  <c r="N27" i="5" s="1"/>
  <c r="T27" i="5" s="1"/>
  <c r="E28" i="5" s="1"/>
  <c r="L28" i="5" s="1"/>
  <c r="U26" i="5"/>
  <c r="F27" i="5" s="1"/>
  <c r="W19" i="5"/>
  <c r="X19" i="5" s="1"/>
  <c r="B20" i="5"/>
  <c r="R27" i="5"/>
  <c r="C28" i="5" s="1"/>
  <c r="J28" i="5" s="1"/>
  <c r="O27" i="5"/>
  <c r="AB26" i="5"/>
  <c r="K26" i="5"/>
  <c r="O27" i="4"/>
  <c r="R27" i="4"/>
  <c r="C28" i="4" s="1"/>
  <c r="J28" i="4" s="1"/>
  <c r="AA26" i="4"/>
  <c r="M26" i="4"/>
  <c r="S26" i="4" s="1"/>
  <c r="D27" i="4" s="1"/>
  <c r="AB26" i="4"/>
  <c r="K26" i="4"/>
  <c r="P26" i="4"/>
  <c r="V26" i="4" s="1"/>
  <c r="G27" i="4" s="1"/>
  <c r="N27" i="4" s="1"/>
  <c r="T27" i="4" s="1"/>
  <c r="E28" i="4" s="1"/>
  <c r="L28" i="4" s="1"/>
  <c r="U26" i="4"/>
  <c r="F27" i="4" s="1"/>
  <c r="Z25" i="4"/>
  <c r="I20" i="4"/>
  <c r="Q20" i="4" s="1"/>
  <c r="H20" i="4"/>
  <c r="AC20" i="4"/>
  <c r="M27" i="3"/>
  <c r="S27" i="3" s="1"/>
  <c r="D28" i="3" s="1"/>
  <c r="AA27" i="3"/>
  <c r="K27" i="3"/>
  <c r="AB27" i="3"/>
  <c r="Z26" i="3"/>
  <c r="B21" i="3"/>
  <c r="AC21" i="3" s="1"/>
  <c r="W20" i="3"/>
  <c r="R28" i="3"/>
  <c r="C29" i="3" s="1"/>
  <c r="J29" i="3" s="1"/>
  <c r="O28" i="3"/>
  <c r="U27" i="3"/>
  <c r="F28" i="3" s="1"/>
  <c r="P27" i="3"/>
  <c r="V27" i="3" s="1"/>
  <c r="G28" i="3" s="1"/>
  <c r="N28" i="3" s="1"/>
  <c r="T28" i="3" s="1"/>
  <c r="E29" i="3" s="1"/>
  <c r="L29" i="3" s="1"/>
  <c r="U30" i="1"/>
  <c r="F31" i="1" s="1"/>
  <c r="M31" i="1" s="1"/>
  <c r="S31" i="1" s="1"/>
  <c r="D32" i="1" s="1"/>
  <c r="K32" i="1" s="1"/>
  <c r="P30" i="1"/>
  <c r="V30" i="1" s="1"/>
  <c r="G31" i="1" s="1"/>
  <c r="N31" i="1" s="1"/>
  <c r="T31" i="1" s="1"/>
  <c r="E32" i="1" s="1"/>
  <c r="L32" i="1" s="1"/>
  <c r="I21" i="1"/>
  <c r="Q21" i="1" s="1"/>
  <c r="H21" i="1"/>
  <c r="R31" i="1"/>
  <c r="C32" i="1" s="1"/>
  <c r="J32" i="1" s="1"/>
  <c r="O31" i="1"/>
  <c r="P28" i="7" l="1"/>
  <c r="V28" i="7" s="1"/>
  <c r="G29" i="7" s="1"/>
  <c r="N29" i="7" s="1"/>
  <c r="T29" i="7" s="1"/>
  <c r="E30" i="7" s="1"/>
  <c r="L30" i="7" s="1"/>
  <c r="U28" i="7"/>
  <c r="F29" i="7" s="1"/>
  <c r="AB28" i="7"/>
  <c r="K28" i="7"/>
  <c r="M28" i="7"/>
  <c r="S28" i="7" s="1"/>
  <c r="D29" i="7" s="1"/>
  <c r="AA28" i="7"/>
  <c r="Z27" i="7"/>
  <c r="R29" i="7"/>
  <c r="C30" i="7" s="1"/>
  <c r="J30" i="7" s="1"/>
  <c r="O29" i="7"/>
  <c r="B21" i="7"/>
  <c r="W20" i="7"/>
  <c r="Z27" i="6"/>
  <c r="P28" i="6"/>
  <c r="V28" i="6" s="1"/>
  <c r="G29" i="6" s="1"/>
  <c r="N29" i="6" s="1"/>
  <c r="T29" i="6" s="1"/>
  <c r="E30" i="6" s="1"/>
  <c r="L30" i="6" s="1"/>
  <c r="U28" i="6"/>
  <c r="F29" i="6" s="1"/>
  <c r="K28" i="6"/>
  <c r="AB28" i="6"/>
  <c r="AC21" i="6"/>
  <c r="I21" i="6"/>
  <c r="Q21" i="6" s="1"/>
  <c r="H21" i="6"/>
  <c r="M28" i="6"/>
  <c r="S28" i="6" s="1"/>
  <c r="D29" i="6" s="1"/>
  <c r="AA28" i="6"/>
  <c r="R29" i="6"/>
  <c r="C30" i="6" s="1"/>
  <c r="J30" i="6" s="1"/>
  <c r="O29" i="6"/>
  <c r="X20" i="6"/>
  <c r="AE20" i="6"/>
  <c r="X20" i="3"/>
  <c r="AE20" i="3"/>
  <c r="P27" i="5"/>
  <c r="V27" i="5" s="1"/>
  <c r="G28" i="5" s="1"/>
  <c r="N28" i="5" s="1"/>
  <c r="T28" i="5" s="1"/>
  <c r="E29" i="5" s="1"/>
  <c r="L29" i="5" s="1"/>
  <c r="U27" i="5"/>
  <c r="F28" i="5" s="1"/>
  <c r="O28" i="5"/>
  <c r="R28" i="5"/>
  <c r="C29" i="5" s="1"/>
  <c r="J29" i="5" s="1"/>
  <c r="H20" i="5"/>
  <c r="I20" i="5"/>
  <c r="Q20" i="5" s="1"/>
  <c r="AC20" i="5"/>
  <c r="AA27" i="5"/>
  <c r="M27" i="5"/>
  <c r="S27" i="5" s="1"/>
  <c r="D28" i="5" s="1"/>
  <c r="Z26" i="5"/>
  <c r="AB27" i="5"/>
  <c r="K27" i="5"/>
  <c r="AA27" i="4"/>
  <c r="M27" i="4"/>
  <c r="S27" i="4" s="1"/>
  <c r="D28" i="4" s="1"/>
  <c r="W20" i="4"/>
  <c r="X20" i="4" s="1"/>
  <c r="B21" i="4"/>
  <c r="Z26" i="4"/>
  <c r="AB27" i="4"/>
  <c r="K27" i="4"/>
  <c r="R28" i="4"/>
  <c r="C29" i="4" s="1"/>
  <c r="J29" i="4" s="1"/>
  <c r="O28" i="4"/>
  <c r="P27" i="4"/>
  <c r="V27" i="4" s="1"/>
  <c r="G28" i="4" s="1"/>
  <c r="N28" i="4" s="1"/>
  <c r="T28" i="4" s="1"/>
  <c r="E29" i="4" s="1"/>
  <c r="L29" i="4" s="1"/>
  <c r="U27" i="4"/>
  <c r="F28" i="4" s="1"/>
  <c r="Z27" i="3"/>
  <c r="K28" i="3"/>
  <c r="AB28" i="3"/>
  <c r="M28" i="3"/>
  <c r="S28" i="3" s="1"/>
  <c r="D29" i="3" s="1"/>
  <c r="AA28" i="3"/>
  <c r="U28" i="3"/>
  <c r="F29" i="3" s="1"/>
  <c r="P28" i="3"/>
  <c r="V28" i="3" s="1"/>
  <c r="G29" i="3" s="1"/>
  <c r="N29" i="3" s="1"/>
  <c r="T29" i="3" s="1"/>
  <c r="E30" i="3" s="1"/>
  <c r="L30" i="3" s="1"/>
  <c r="R29" i="3"/>
  <c r="C30" i="3" s="1"/>
  <c r="J30" i="3" s="1"/>
  <c r="O29" i="3"/>
  <c r="I21" i="3"/>
  <c r="Q21" i="3" s="1"/>
  <c r="H21" i="3"/>
  <c r="P31" i="1"/>
  <c r="V31" i="1" s="1"/>
  <c r="G32" i="1" s="1"/>
  <c r="N32" i="1" s="1"/>
  <c r="T32" i="1" s="1"/>
  <c r="U31" i="1"/>
  <c r="F32" i="1" s="1"/>
  <c r="M32" i="1" s="1"/>
  <c r="S32" i="1" s="1"/>
  <c r="O32" i="1"/>
  <c r="R32" i="1"/>
  <c r="B22" i="1"/>
  <c r="W21" i="1"/>
  <c r="X21" i="1" s="1"/>
  <c r="AC21" i="7" l="1"/>
  <c r="I21" i="7"/>
  <c r="Q21" i="7" s="1"/>
  <c r="H21" i="7"/>
  <c r="AE20" i="7"/>
  <c r="X20" i="7"/>
  <c r="R30" i="7"/>
  <c r="C31" i="7" s="1"/>
  <c r="J31" i="7" s="1"/>
  <c r="O30" i="7"/>
  <c r="P29" i="7"/>
  <c r="V29" i="7" s="1"/>
  <c r="G30" i="7" s="1"/>
  <c r="N30" i="7" s="1"/>
  <c r="T30" i="7" s="1"/>
  <c r="E31" i="7" s="1"/>
  <c r="L31" i="7" s="1"/>
  <c r="U29" i="7"/>
  <c r="F30" i="7" s="1"/>
  <c r="AB29" i="7"/>
  <c r="K29" i="7"/>
  <c r="M29" i="7"/>
  <c r="S29" i="7" s="1"/>
  <c r="D30" i="7" s="1"/>
  <c r="AA29" i="7"/>
  <c r="Z28" i="7"/>
  <c r="Z28" i="6"/>
  <c r="K29" i="6"/>
  <c r="AB29" i="6"/>
  <c r="M29" i="6"/>
  <c r="S29" i="6" s="1"/>
  <c r="D30" i="6" s="1"/>
  <c r="AA29" i="6"/>
  <c r="R30" i="6"/>
  <c r="C31" i="6" s="1"/>
  <c r="J31" i="6" s="1"/>
  <c r="O30" i="6"/>
  <c r="B22" i="6"/>
  <c r="W21" i="6"/>
  <c r="P29" i="6"/>
  <c r="V29" i="6" s="1"/>
  <c r="G30" i="6" s="1"/>
  <c r="N30" i="6" s="1"/>
  <c r="T30" i="6" s="1"/>
  <c r="E31" i="6" s="1"/>
  <c r="L31" i="6" s="1"/>
  <c r="U29" i="6"/>
  <c r="F30" i="6" s="1"/>
  <c r="AB28" i="5"/>
  <c r="K28" i="5"/>
  <c r="R29" i="5"/>
  <c r="C30" i="5" s="1"/>
  <c r="J30" i="5" s="1"/>
  <c r="O29" i="5"/>
  <c r="AA28" i="5"/>
  <c r="M28" i="5"/>
  <c r="S28" i="5" s="1"/>
  <c r="D29" i="5" s="1"/>
  <c r="B21" i="5"/>
  <c r="W20" i="5"/>
  <c r="X20" i="5" s="1"/>
  <c r="P28" i="5"/>
  <c r="V28" i="5" s="1"/>
  <c r="G29" i="5" s="1"/>
  <c r="N29" i="5" s="1"/>
  <c r="T29" i="5" s="1"/>
  <c r="E30" i="5" s="1"/>
  <c r="L30" i="5" s="1"/>
  <c r="U28" i="5"/>
  <c r="F29" i="5" s="1"/>
  <c r="Z27" i="5"/>
  <c r="AA28" i="4"/>
  <c r="M28" i="4"/>
  <c r="S28" i="4" s="1"/>
  <c r="D29" i="4" s="1"/>
  <c r="Z27" i="4"/>
  <c r="U28" i="4"/>
  <c r="F29" i="4" s="1"/>
  <c r="P28" i="4"/>
  <c r="V28" i="4" s="1"/>
  <c r="G29" i="4" s="1"/>
  <c r="N29" i="4" s="1"/>
  <c r="T29" i="4" s="1"/>
  <c r="E30" i="4" s="1"/>
  <c r="L30" i="4" s="1"/>
  <c r="R29" i="4"/>
  <c r="C30" i="4" s="1"/>
  <c r="J30" i="4" s="1"/>
  <c r="O29" i="4"/>
  <c r="AC21" i="4"/>
  <c r="I21" i="4"/>
  <c r="Q21" i="4" s="1"/>
  <c r="H21" i="4"/>
  <c r="AB28" i="4"/>
  <c r="K28" i="4"/>
  <c r="K29" i="3"/>
  <c r="AB29" i="3"/>
  <c r="M29" i="3"/>
  <c r="S29" i="3" s="1"/>
  <c r="D30" i="3" s="1"/>
  <c r="AA29" i="3"/>
  <c r="Z28" i="3"/>
  <c r="W21" i="3"/>
  <c r="B22" i="3"/>
  <c r="AC22" i="3" s="1"/>
  <c r="U29" i="3"/>
  <c r="F30" i="3" s="1"/>
  <c r="P29" i="3"/>
  <c r="V29" i="3" s="1"/>
  <c r="G30" i="3" s="1"/>
  <c r="N30" i="3" s="1"/>
  <c r="T30" i="3" s="1"/>
  <c r="E31" i="3" s="1"/>
  <c r="L31" i="3" s="1"/>
  <c r="R30" i="3"/>
  <c r="C31" i="3" s="1"/>
  <c r="J31" i="3" s="1"/>
  <c r="O30" i="3"/>
  <c r="I22" i="1"/>
  <c r="Q22" i="1" s="1"/>
  <c r="H22" i="1"/>
  <c r="U32" i="1"/>
  <c r="P32" i="1"/>
  <c r="V32" i="1" s="1"/>
  <c r="AB30" i="7" l="1"/>
  <c r="K30" i="7"/>
  <c r="R31" i="7"/>
  <c r="C32" i="7" s="1"/>
  <c r="J32" i="7" s="1"/>
  <c r="O31" i="7"/>
  <c r="M30" i="7"/>
  <c r="S30" i="7" s="1"/>
  <c r="D31" i="7" s="1"/>
  <c r="AA30" i="7"/>
  <c r="Z29" i="7"/>
  <c r="P30" i="7"/>
  <c r="V30" i="7" s="1"/>
  <c r="G31" i="7" s="1"/>
  <c r="N31" i="7" s="1"/>
  <c r="T31" i="7" s="1"/>
  <c r="E32" i="7" s="1"/>
  <c r="L32" i="7" s="1"/>
  <c r="U30" i="7"/>
  <c r="F31" i="7" s="1"/>
  <c r="B22" i="7"/>
  <c r="W21" i="7"/>
  <c r="Z29" i="6"/>
  <c r="AA30" i="6"/>
  <c r="M30" i="6"/>
  <c r="S30" i="6" s="1"/>
  <c r="D31" i="6" s="1"/>
  <c r="AE21" i="6"/>
  <c r="X21" i="6"/>
  <c r="I22" i="6"/>
  <c r="Q22" i="6" s="1"/>
  <c r="H22" i="6"/>
  <c r="AC22" i="6"/>
  <c r="P30" i="6"/>
  <c r="V30" i="6" s="1"/>
  <c r="G31" i="6" s="1"/>
  <c r="N31" i="6" s="1"/>
  <c r="T31" i="6" s="1"/>
  <c r="E32" i="6" s="1"/>
  <c r="L32" i="6" s="1"/>
  <c r="U30" i="6"/>
  <c r="F31" i="6" s="1"/>
  <c r="AB30" i="6"/>
  <c r="K30" i="6"/>
  <c r="R31" i="6"/>
  <c r="C32" i="6" s="1"/>
  <c r="J32" i="6" s="1"/>
  <c r="O31" i="6"/>
  <c r="X21" i="3"/>
  <c r="AE21" i="3"/>
  <c r="AA29" i="5"/>
  <c r="M29" i="5"/>
  <c r="S29" i="5" s="1"/>
  <c r="D30" i="5" s="1"/>
  <c r="I21" i="5"/>
  <c r="Q21" i="5" s="1"/>
  <c r="H21" i="5"/>
  <c r="AC21" i="5"/>
  <c r="U29" i="5"/>
  <c r="F30" i="5" s="1"/>
  <c r="P29" i="5"/>
  <c r="V29" i="5" s="1"/>
  <c r="G30" i="5" s="1"/>
  <c r="N30" i="5" s="1"/>
  <c r="T30" i="5" s="1"/>
  <c r="E31" i="5" s="1"/>
  <c r="L31" i="5" s="1"/>
  <c r="Z28" i="5"/>
  <c r="AB29" i="5"/>
  <c r="K29" i="5"/>
  <c r="R30" i="5"/>
  <c r="C31" i="5" s="1"/>
  <c r="J31" i="5" s="1"/>
  <c r="O30" i="5"/>
  <c r="R30" i="4"/>
  <c r="C31" i="4" s="1"/>
  <c r="J31" i="4" s="1"/>
  <c r="O30" i="4"/>
  <c r="AB29" i="4"/>
  <c r="K29" i="4"/>
  <c r="W21" i="4"/>
  <c r="X21" i="4" s="1"/>
  <c r="B22" i="4"/>
  <c r="U29" i="4"/>
  <c r="F30" i="4" s="1"/>
  <c r="P29" i="4"/>
  <c r="V29" i="4" s="1"/>
  <c r="G30" i="4" s="1"/>
  <c r="N30" i="4" s="1"/>
  <c r="T30" i="4" s="1"/>
  <c r="E31" i="4" s="1"/>
  <c r="L31" i="4" s="1"/>
  <c r="Z28" i="4"/>
  <c r="M29" i="4"/>
  <c r="S29" i="4" s="1"/>
  <c r="D30" i="4" s="1"/>
  <c r="AA29" i="4"/>
  <c r="M30" i="3"/>
  <c r="S30" i="3" s="1"/>
  <c r="D31" i="3" s="1"/>
  <c r="AA30" i="3"/>
  <c r="K30" i="3"/>
  <c r="AB30" i="3"/>
  <c r="Z29" i="3"/>
  <c r="P30" i="3"/>
  <c r="V30" i="3" s="1"/>
  <c r="G31" i="3" s="1"/>
  <c r="N31" i="3" s="1"/>
  <c r="T31" i="3" s="1"/>
  <c r="E32" i="3" s="1"/>
  <c r="L32" i="3" s="1"/>
  <c r="U30" i="3"/>
  <c r="F31" i="3" s="1"/>
  <c r="R31" i="3"/>
  <c r="C32" i="3" s="1"/>
  <c r="J32" i="3" s="1"/>
  <c r="O31" i="3"/>
  <c r="I22" i="3"/>
  <c r="Q22" i="3" s="1"/>
  <c r="H22" i="3"/>
  <c r="B23" i="1"/>
  <c r="W22" i="1"/>
  <c r="X22" i="1" s="1"/>
  <c r="AB31" i="7" l="1"/>
  <c r="K31" i="7"/>
  <c r="AE21" i="7"/>
  <c r="X21" i="7"/>
  <c r="H22" i="7"/>
  <c r="AC22" i="7"/>
  <c r="I22" i="7"/>
  <c r="Q22" i="7" s="1"/>
  <c r="M31" i="7"/>
  <c r="S31" i="7" s="1"/>
  <c r="D32" i="7" s="1"/>
  <c r="AA31" i="7"/>
  <c r="Z30" i="7"/>
  <c r="P31" i="7"/>
  <c r="V31" i="7" s="1"/>
  <c r="G32" i="7" s="1"/>
  <c r="N32" i="7" s="1"/>
  <c r="T32" i="7" s="1"/>
  <c r="U31" i="7"/>
  <c r="F32" i="7" s="1"/>
  <c r="R32" i="7"/>
  <c r="O32" i="7"/>
  <c r="P31" i="6"/>
  <c r="V31" i="6" s="1"/>
  <c r="G32" i="6" s="1"/>
  <c r="N32" i="6" s="1"/>
  <c r="T32" i="6" s="1"/>
  <c r="U31" i="6"/>
  <c r="F32" i="6" s="1"/>
  <c r="Z30" i="6"/>
  <c r="AB31" i="6"/>
  <c r="K31" i="6"/>
  <c r="R32" i="6"/>
  <c r="O32" i="6"/>
  <c r="AA31" i="6"/>
  <c r="M31" i="6"/>
  <c r="S31" i="6" s="1"/>
  <c r="D32" i="6" s="1"/>
  <c r="B23" i="6"/>
  <c r="W22" i="6"/>
  <c r="Z29" i="5"/>
  <c r="U30" i="5"/>
  <c r="F31" i="5" s="1"/>
  <c r="P30" i="5"/>
  <c r="V30" i="5" s="1"/>
  <c r="G31" i="5" s="1"/>
  <c r="N31" i="5" s="1"/>
  <c r="T31" i="5" s="1"/>
  <c r="E32" i="5" s="1"/>
  <c r="L32" i="5" s="1"/>
  <c r="Z30" i="5"/>
  <c r="W21" i="5"/>
  <c r="X21" i="5" s="1"/>
  <c r="B22" i="5"/>
  <c r="R31" i="5"/>
  <c r="C32" i="5" s="1"/>
  <c r="J32" i="5" s="1"/>
  <c r="O31" i="5"/>
  <c r="AA30" i="5"/>
  <c r="M30" i="5"/>
  <c r="S30" i="5" s="1"/>
  <c r="D31" i="5" s="1"/>
  <c r="AB30" i="5"/>
  <c r="K30" i="5"/>
  <c r="K30" i="4"/>
  <c r="AB30" i="4"/>
  <c r="M30" i="4"/>
  <c r="S30" i="4" s="1"/>
  <c r="D31" i="4" s="1"/>
  <c r="AA30" i="4"/>
  <c r="AC22" i="4"/>
  <c r="I22" i="4"/>
  <c r="Q22" i="4" s="1"/>
  <c r="H22" i="4"/>
  <c r="P30" i="4"/>
  <c r="V30" i="4" s="1"/>
  <c r="G31" i="4" s="1"/>
  <c r="N31" i="4" s="1"/>
  <c r="T31" i="4" s="1"/>
  <c r="E32" i="4" s="1"/>
  <c r="L32" i="4" s="1"/>
  <c r="U30" i="4"/>
  <c r="F31" i="4" s="1"/>
  <c r="Z30" i="4"/>
  <c r="Z29" i="4"/>
  <c r="R31" i="4"/>
  <c r="C32" i="4" s="1"/>
  <c r="J32" i="4" s="1"/>
  <c r="O31" i="4"/>
  <c r="Z30" i="3"/>
  <c r="K31" i="3"/>
  <c r="AB31" i="3"/>
  <c r="M31" i="3"/>
  <c r="S31" i="3" s="1"/>
  <c r="D32" i="3" s="1"/>
  <c r="AA31" i="3"/>
  <c r="B23" i="3"/>
  <c r="AC23" i="3" s="1"/>
  <c r="W22" i="3"/>
  <c r="U31" i="3"/>
  <c r="F32" i="3" s="1"/>
  <c r="P31" i="3"/>
  <c r="V31" i="3" s="1"/>
  <c r="G32" i="3" s="1"/>
  <c r="N32" i="3" s="1"/>
  <c r="T32" i="3" s="1"/>
  <c r="R32" i="3"/>
  <c r="O32" i="3"/>
  <c r="H23" i="1"/>
  <c r="I23" i="1"/>
  <c r="Q23" i="1" s="1"/>
  <c r="AB32" i="7" l="1"/>
  <c r="K32" i="7"/>
  <c r="U32" i="7"/>
  <c r="P32" i="7"/>
  <c r="V32" i="7" s="1"/>
  <c r="AA32" i="7"/>
  <c r="M32" i="7"/>
  <c r="S32" i="7" s="1"/>
  <c r="B23" i="7"/>
  <c r="W22" i="7"/>
  <c r="Z31" i="7"/>
  <c r="Z31" i="6"/>
  <c r="AE22" i="6"/>
  <c r="X22" i="6"/>
  <c r="U32" i="6"/>
  <c r="P32" i="6"/>
  <c r="V32" i="6" s="1"/>
  <c r="AB32" i="6"/>
  <c r="K32" i="6"/>
  <c r="AA32" i="6"/>
  <c r="M32" i="6"/>
  <c r="S32" i="6" s="1"/>
  <c r="I23" i="6"/>
  <c r="Q23" i="6" s="1"/>
  <c r="H23" i="6"/>
  <c r="AC23" i="6"/>
  <c r="X22" i="3"/>
  <c r="AE22" i="3"/>
  <c r="AB31" i="5"/>
  <c r="K31" i="5"/>
  <c r="U31" i="5"/>
  <c r="F32" i="5" s="1"/>
  <c r="P31" i="5"/>
  <c r="V31" i="5" s="1"/>
  <c r="G32" i="5" s="1"/>
  <c r="N32" i="5" s="1"/>
  <c r="T32" i="5" s="1"/>
  <c r="E33" i="5" s="1"/>
  <c r="L33" i="5" s="1"/>
  <c r="Z31" i="5"/>
  <c r="R32" i="5"/>
  <c r="C33" i="5" s="1"/>
  <c r="J33" i="5" s="1"/>
  <c r="O32" i="5"/>
  <c r="I22" i="5"/>
  <c r="Q22" i="5" s="1"/>
  <c r="H22" i="5"/>
  <c r="AC22" i="5"/>
  <c r="AA31" i="5"/>
  <c r="M31" i="5"/>
  <c r="S31" i="5" s="1"/>
  <c r="D32" i="5" s="1"/>
  <c r="U31" i="4"/>
  <c r="F32" i="4" s="1"/>
  <c r="P31" i="4"/>
  <c r="V31" i="4" s="1"/>
  <c r="G32" i="4" s="1"/>
  <c r="N32" i="4" s="1"/>
  <c r="T32" i="4" s="1"/>
  <c r="R32" i="4"/>
  <c r="O32" i="4"/>
  <c r="AA31" i="4"/>
  <c r="M31" i="4"/>
  <c r="S31" i="4" s="1"/>
  <c r="D32" i="4" s="1"/>
  <c r="W22" i="4"/>
  <c r="X22" i="4" s="1"/>
  <c r="B23" i="4"/>
  <c r="K31" i="4"/>
  <c r="AB31" i="4"/>
  <c r="Z31" i="3"/>
  <c r="M32" i="3"/>
  <c r="S32" i="3" s="1"/>
  <c r="AA32" i="3"/>
  <c r="K32" i="3"/>
  <c r="AB32" i="3"/>
  <c r="U32" i="3"/>
  <c r="P32" i="3"/>
  <c r="V32" i="3" s="1"/>
  <c r="I23" i="3"/>
  <c r="Q23" i="3" s="1"/>
  <c r="H23" i="3"/>
  <c r="W23" i="1"/>
  <c r="X23" i="1" s="1"/>
  <c r="B24" i="1"/>
  <c r="AE22" i="7" l="1"/>
  <c r="X22" i="7"/>
  <c r="AC23" i="7"/>
  <c r="I23" i="7"/>
  <c r="Q23" i="7" s="1"/>
  <c r="H23" i="7"/>
  <c r="Z32" i="7"/>
  <c r="Z32" i="6"/>
  <c r="W23" i="6"/>
  <c r="B24" i="6"/>
  <c r="O33" i="5"/>
  <c r="R33" i="5"/>
  <c r="C34" i="5" s="1"/>
  <c r="J34" i="5" s="1"/>
  <c r="AB32" i="5"/>
  <c r="K32" i="5"/>
  <c r="U32" i="5"/>
  <c r="F33" i="5" s="1"/>
  <c r="P32" i="5"/>
  <c r="V32" i="5" s="1"/>
  <c r="G33" i="5" s="1"/>
  <c r="N33" i="5" s="1"/>
  <c r="T33" i="5" s="1"/>
  <c r="E34" i="5" s="1"/>
  <c r="L34" i="5" s="1"/>
  <c r="W22" i="5"/>
  <c r="X22" i="5" s="1"/>
  <c r="B23" i="5"/>
  <c r="AA32" i="5"/>
  <c r="M32" i="5"/>
  <c r="S32" i="5" s="1"/>
  <c r="D33" i="5" s="1"/>
  <c r="AB32" i="4"/>
  <c r="K32" i="4"/>
  <c r="P32" i="4"/>
  <c r="V32" i="4" s="1"/>
  <c r="U32" i="4"/>
  <c r="AA32" i="4"/>
  <c r="M32" i="4"/>
  <c r="S32" i="4" s="1"/>
  <c r="I23" i="4"/>
  <c r="Q23" i="4" s="1"/>
  <c r="H23" i="4"/>
  <c r="AC23" i="4"/>
  <c r="Z31" i="4"/>
  <c r="Z32" i="3"/>
  <c r="B24" i="3"/>
  <c r="AC24" i="3" s="1"/>
  <c r="W23" i="3"/>
  <c r="I24" i="1"/>
  <c r="Q24" i="1" s="1"/>
  <c r="H24" i="1"/>
  <c r="B24" i="7" l="1"/>
  <c r="W23" i="7"/>
  <c r="AC24" i="6"/>
  <c r="I24" i="6"/>
  <c r="Q24" i="6" s="1"/>
  <c r="H24" i="6"/>
  <c r="AE23" i="6"/>
  <c r="X23" i="6"/>
  <c r="X23" i="3"/>
  <c r="AE23" i="3"/>
  <c r="K33" i="5"/>
  <c r="AB33" i="5"/>
  <c r="M33" i="5"/>
  <c r="S33" i="5" s="1"/>
  <c r="D34" i="5" s="1"/>
  <c r="AA33" i="5"/>
  <c r="O34" i="5"/>
  <c r="R34" i="5"/>
  <c r="P33" i="5"/>
  <c r="V33" i="5" s="1"/>
  <c r="G34" i="5" s="1"/>
  <c r="N34" i="5" s="1"/>
  <c r="T34" i="5" s="1"/>
  <c r="U33" i="5"/>
  <c r="F34" i="5" s="1"/>
  <c r="Z33" i="5"/>
  <c r="I23" i="5"/>
  <c r="Q23" i="5" s="1"/>
  <c r="H23" i="5"/>
  <c r="AC23" i="5"/>
  <c r="Z32" i="5"/>
  <c r="Z32" i="4"/>
  <c r="W23" i="4"/>
  <c r="X23" i="4" s="1"/>
  <c r="B24" i="4"/>
  <c r="I24" i="3"/>
  <c r="Q24" i="3" s="1"/>
  <c r="H24" i="3"/>
  <c r="B25" i="1"/>
  <c r="W24" i="1"/>
  <c r="X24" i="1" s="1"/>
  <c r="AE23" i="7" l="1"/>
  <c r="X23" i="7"/>
  <c r="I24" i="7"/>
  <c r="Q24" i="7" s="1"/>
  <c r="H24" i="7"/>
  <c r="AC24" i="7"/>
  <c r="W24" i="6"/>
  <c r="B25" i="6"/>
  <c r="M34" i="5"/>
  <c r="S34" i="5" s="1"/>
  <c r="AA34" i="5"/>
  <c r="P34" i="5"/>
  <c r="V34" i="5" s="1"/>
  <c r="U34" i="5"/>
  <c r="Z34" i="5"/>
  <c r="K34" i="5"/>
  <c r="AB34" i="5"/>
  <c r="W23" i="5"/>
  <c r="X23" i="5" s="1"/>
  <c r="B24" i="5"/>
  <c r="I24" i="4"/>
  <c r="Q24" i="4" s="1"/>
  <c r="H24" i="4"/>
  <c r="AC24" i="4"/>
  <c r="W24" i="3"/>
  <c r="B25" i="3"/>
  <c r="AC25" i="3" s="1"/>
  <c r="I25" i="1"/>
  <c r="Q25" i="1" s="1"/>
  <c r="H25" i="1"/>
  <c r="B25" i="7" l="1"/>
  <c r="W24" i="7"/>
  <c r="AC25" i="6"/>
  <c r="I25" i="6"/>
  <c r="Q25" i="6" s="1"/>
  <c r="H25" i="6"/>
  <c r="X24" i="6"/>
  <c r="AE24" i="6"/>
  <c r="X24" i="3"/>
  <c r="AE24" i="3"/>
  <c r="AC24" i="5"/>
  <c r="I24" i="5"/>
  <c r="Q24" i="5" s="1"/>
  <c r="H24" i="5"/>
  <c r="W24" i="4"/>
  <c r="X24" i="4" s="1"/>
  <c r="B25" i="4"/>
  <c r="I25" i="3"/>
  <c r="Q25" i="3" s="1"/>
  <c r="H25" i="3"/>
  <c r="B26" i="1"/>
  <c r="W25" i="1"/>
  <c r="X25" i="1" s="1"/>
  <c r="AE24" i="7" l="1"/>
  <c r="X24" i="7"/>
  <c r="AC25" i="7"/>
  <c r="I25" i="7"/>
  <c r="Q25" i="7" s="1"/>
  <c r="H25" i="7"/>
  <c r="W25" i="6"/>
  <c r="B26" i="6"/>
  <c r="W24" i="5"/>
  <c r="X24" i="5" s="1"/>
  <c r="B25" i="5"/>
  <c r="I25" i="4"/>
  <c r="Q25" i="4" s="1"/>
  <c r="H25" i="4"/>
  <c r="AC25" i="4"/>
  <c r="W25" i="3"/>
  <c r="B26" i="3"/>
  <c r="AC26" i="3" s="1"/>
  <c r="I26" i="1"/>
  <c r="Q26" i="1" s="1"/>
  <c r="H26" i="1"/>
  <c r="B26" i="7" l="1"/>
  <c r="W25" i="7"/>
  <c r="AC26" i="6"/>
  <c r="I26" i="6"/>
  <c r="Q26" i="6" s="1"/>
  <c r="H26" i="6"/>
  <c r="AE25" i="6"/>
  <c r="X25" i="6"/>
  <c r="X25" i="3"/>
  <c r="AE25" i="3"/>
  <c r="I25" i="5"/>
  <c r="Q25" i="5" s="1"/>
  <c r="H25" i="5"/>
  <c r="AC25" i="5"/>
  <c r="B26" i="4"/>
  <c r="W25" i="4"/>
  <c r="X25" i="4" s="1"/>
  <c r="I26" i="3"/>
  <c r="Q26" i="3" s="1"/>
  <c r="H26" i="3"/>
  <c r="B27" i="1"/>
  <c r="W26" i="1"/>
  <c r="X26" i="1" s="1"/>
  <c r="AE25" i="7" l="1"/>
  <c r="X25" i="7"/>
  <c r="I26" i="7"/>
  <c r="Q26" i="7" s="1"/>
  <c r="H26" i="7"/>
  <c r="AC26" i="7"/>
  <c r="B27" i="6"/>
  <c r="W26" i="6"/>
  <c r="W25" i="5"/>
  <c r="X25" i="5" s="1"/>
  <c r="B26" i="5"/>
  <c r="AC26" i="4"/>
  <c r="I26" i="4"/>
  <c r="Q26" i="4" s="1"/>
  <c r="H26" i="4"/>
  <c r="B27" i="3"/>
  <c r="AC27" i="3" s="1"/>
  <c r="W26" i="3"/>
  <c r="I27" i="1"/>
  <c r="Q27" i="1" s="1"/>
  <c r="H27" i="1"/>
  <c r="B27" i="7" l="1"/>
  <c r="W26" i="7"/>
  <c r="AE26" i="6"/>
  <c r="X26" i="6"/>
  <c r="H27" i="6"/>
  <c r="AC27" i="6"/>
  <c r="I27" i="6"/>
  <c r="Q27" i="6" s="1"/>
  <c r="X26" i="3"/>
  <c r="AE26" i="3"/>
  <c r="AC26" i="5"/>
  <c r="H26" i="5"/>
  <c r="I26" i="5"/>
  <c r="Q26" i="5" s="1"/>
  <c r="B27" i="4"/>
  <c r="W26" i="4"/>
  <c r="X26" i="4" s="1"/>
  <c r="I27" i="3"/>
  <c r="Q27" i="3" s="1"/>
  <c r="H27" i="3"/>
  <c r="B28" i="1"/>
  <c r="W27" i="1"/>
  <c r="X27" i="1" s="1"/>
  <c r="AE26" i="7" l="1"/>
  <c r="X26" i="7"/>
  <c r="I27" i="7"/>
  <c r="Q27" i="7" s="1"/>
  <c r="H27" i="7"/>
  <c r="AC27" i="7"/>
  <c r="B28" i="6"/>
  <c r="W27" i="6"/>
  <c r="W26" i="5"/>
  <c r="X26" i="5" s="1"/>
  <c r="B27" i="5"/>
  <c r="AC27" i="4"/>
  <c r="I27" i="4"/>
  <c r="Q27" i="4" s="1"/>
  <c r="H27" i="4"/>
  <c r="W27" i="3"/>
  <c r="B28" i="3"/>
  <c r="AC28" i="3" s="1"/>
  <c r="H28" i="1"/>
  <c r="I28" i="1"/>
  <c r="Q28" i="1" s="1"/>
  <c r="B28" i="7" l="1"/>
  <c r="W27" i="7"/>
  <c r="AE27" i="6"/>
  <c r="X27" i="6"/>
  <c r="I28" i="6"/>
  <c r="Q28" i="6" s="1"/>
  <c r="H28" i="6"/>
  <c r="AC28" i="6"/>
  <c r="X27" i="3"/>
  <c r="AE27" i="3"/>
  <c r="AC27" i="5"/>
  <c r="I27" i="5"/>
  <c r="Q27" i="5" s="1"/>
  <c r="H27" i="5"/>
  <c r="B28" i="4"/>
  <c r="W27" i="4"/>
  <c r="X27" i="4" s="1"/>
  <c r="I28" i="3"/>
  <c r="Q28" i="3" s="1"/>
  <c r="H28" i="3"/>
  <c r="B29" i="1"/>
  <c r="W28" i="1"/>
  <c r="X28" i="1" s="1"/>
  <c r="AE27" i="7" l="1"/>
  <c r="X27" i="7"/>
  <c r="I28" i="7"/>
  <c r="Q28" i="7" s="1"/>
  <c r="H28" i="7"/>
  <c r="AC28" i="7"/>
  <c r="B29" i="6"/>
  <c r="W28" i="6"/>
  <c r="B28" i="5"/>
  <c r="W27" i="5"/>
  <c r="X27" i="5" s="1"/>
  <c r="AC28" i="4"/>
  <c r="H28" i="4"/>
  <c r="I28" i="4"/>
  <c r="Q28" i="4" s="1"/>
  <c r="B29" i="3"/>
  <c r="AC29" i="3" s="1"/>
  <c r="W28" i="3"/>
  <c r="I29" i="1"/>
  <c r="Q29" i="1" s="1"/>
  <c r="H29" i="1"/>
  <c r="B29" i="7" l="1"/>
  <c r="W28" i="7"/>
  <c r="X28" i="6"/>
  <c r="AE28" i="6"/>
  <c r="H29" i="6"/>
  <c r="I29" i="6"/>
  <c r="Q29" i="6" s="1"/>
  <c r="AC29" i="6"/>
  <c r="X28" i="3"/>
  <c r="AE28" i="3"/>
  <c r="AC28" i="5"/>
  <c r="I28" i="5"/>
  <c r="Q28" i="5" s="1"/>
  <c r="H28" i="5"/>
  <c r="B29" i="4"/>
  <c r="W28" i="4"/>
  <c r="X28" i="4" s="1"/>
  <c r="I29" i="3"/>
  <c r="Q29" i="3" s="1"/>
  <c r="H29" i="3"/>
  <c r="B30" i="1"/>
  <c r="W29" i="1"/>
  <c r="X29" i="1" s="1"/>
  <c r="AE28" i="7" l="1"/>
  <c r="X28" i="7"/>
  <c r="I29" i="7"/>
  <c r="Q29" i="7" s="1"/>
  <c r="H29" i="7"/>
  <c r="AC29" i="7"/>
  <c r="B30" i="6"/>
  <c r="W29" i="6"/>
  <c r="B29" i="5"/>
  <c r="W28" i="5"/>
  <c r="X28" i="5" s="1"/>
  <c r="AC29" i="4"/>
  <c r="I29" i="4"/>
  <c r="Q29" i="4" s="1"/>
  <c r="H29" i="4"/>
  <c r="B30" i="3"/>
  <c r="AC30" i="3" s="1"/>
  <c r="W29" i="3"/>
  <c r="H30" i="1"/>
  <c r="I30" i="1"/>
  <c r="Q30" i="1" s="1"/>
  <c r="B30" i="7" l="1"/>
  <c r="W29" i="7"/>
  <c r="X29" i="6"/>
  <c r="AE29" i="6"/>
  <c r="AC30" i="6"/>
  <c r="H30" i="6"/>
  <c r="I30" i="6"/>
  <c r="Q30" i="6" s="1"/>
  <c r="X29" i="3"/>
  <c r="AE29" i="3"/>
  <c r="AC29" i="5"/>
  <c r="I29" i="5"/>
  <c r="Q29" i="5" s="1"/>
  <c r="H29" i="5"/>
  <c r="B30" i="4"/>
  <c r="W29" i="4"/>
  <c r="X29" i="4" s="1"/>
  <c r="H30" i="3"/>
  <c r="I30" i="3"/>
  <c r="Q30" i="3" s="1"/>
  <c r="W30" i="1"/>
  <c r="X30" i="1" s="1"/>
  <c r="B31" i="1"/>
  <c r="AE29" i="7" l="1"/>
  <c r="X29" i="7"/>
  <c r="I30" i="7"/>
  <c r="Q30" i="7" s="1"/>
  <c r="H30" i="7"/>
  <c r="AC30" i="7"/>
  <c r="W30" i="6"/>
  <c r="B31" i="6"/>
  <c r="B30" i="5"/>
  <c r="W29" i="5"/>
  <c r="X29" i="5" s="1"/>
  <c r="AC30" i="4"/>
  <c r="I30" i="4"/>
  <c r="Q30" i="4" s="1"/>
  <c r="H30" i="4"/>
  <c r="B31" i="3"/>
  <c r="AC31" i="3" s="1"/>
  <c r="W30" i="3"/>
  <c r="H31" i="1"/>
  <c r="I31" i="1"/>
  <c r="Q31" i="1" s="1"/>
  <c r="B31" i="7" l="1"/>
  <c r="W30" i="7"/>
  <c r="AC31" i="6"/>
  <c r="I31" i="6"/>
  <c r="Q31" i="6" s="1"/>
  <c r="H31" i="6"/>
  <c r="AE30" i="6"/>
  <c r="X30" i="6"/>
  <c r="X30" i="3"/>
  <c r="AE30" i="3"/>
  <c r="AC30" i="5"/>
  <c r="I30" i="5"/>
  <c r="Q30" i="5" s="1"/>
  <c r="H30" i="5"/>
  <c r="B31" i="4"/>
  <c r="W30" i="4"/>
  <c r="X30" i="4" s="1"/>
  <c r="I31" i="3"/>
  <c r="Q31" i="3" s="1"/>
  <c r="H31" i="3"/>
  <c r="W31" i="1"/>
  <c r="X31" i="1" s="1"/>
  <c r="B32" i="1"/>
  <c r="AE30" i="7" l="1"/>
  <c r="X30" i="7"/>
  <c r="I31" i="7"/>
  <c r="Q31" i="7" s="1"/>
  <c r="H31" i="7"/>
  <c r="AC31" i="7"/>
  <c r="B32" i="6"/>
  <c r="W31" i="6"/>
  <c r="B31" i="5"/>
  <c r="W30" i="5"/>
  <c r="X30" i="5" s="1"/>
  <c r="I31" i="4"/>
  <c r="Q31" i="4" s="1"/>
  <c r="AC31" i="4"/>
  <c r="H31" i="4"/>
  <c r="W31" i="3"/>
  <c r="B32" i="3"/>
  <c r="AC32" i="3" s="1"/>
  <c r="H32" i="1"/>
  <c r="I32" i="1"/>
  <c r="Q32" i="1" s="1"/>
  <c r="W32" i="1" s="1"/>
  <c r="X32" i="1" s="1"/>
  <c r="B32" i="7" l="1"/>
  <c r="W31" i="7"/>
  <c r="AE31" i="6"/>
  <c r="X31" i="6"/>
  <c r="I32" i="6"/>
  <c r="Q32" i="6" s="1"/>
  <c r="W32" i="6" s="1"/>
  <c r="H32" i="6"/>
  <c r="AC32" i="6"/>
  <c r="X31" i="3"/>
  <c r="AE31" i="3"/>
  <c r="AC31" i="5"/>
  <c r="I31" i="5"/>
  <c r="Q31" i="5" s="1"/>
  <c r="H31" i="5"/>
  <c r="B32" i="4"/>
  <c r="W31" i="4"/>
  <c r="X31" i="4" s="1"/>
  <c r="I32" i="3"/>
  <c r="Q32" i="3" s="1"/>
  <c r="W32" i="3" s="1"/>
  <c r="H32" i="3"/>
  <c r="AE31" i="7" l="1"/>
  <c r="X31" i="7"/>
  <c r="I32" i="7"/>
  <c r="Q32" i="7" s="1"/>
  <c r="W32" i="7" s="1"/>
  <c r="H32" i="7"/>
  <c r="AC32" i="7"/>
  <c r="AE32" i="6"/>
  <c r="X32" i="6"/>
  <c r="X32" i="3"/>
  <c r="AE32" i="3"/>
  <c r="B32" i="5"/>
  <c r="W31" i="5"/>
  <c r="X31" i="5" s="1"/>
  <c r="AC32" i="4"/>
  <c r="I32" i="4"/>
  <c r="Q32" i="4" s="1"/>
  <c r="W32" i="4" s="1"/>
  <c r="X32" i="4" s="1"/>
  <c r="H32" i="4"/>
  <c r="AE32" i="7" l="1"/>
  <c r="X32" i="7"/>
  <c r="AC32" i="5"/>
  <c r="I32" i="5"/>
  <c r="Q32" i="5" s="1"/>
  <c r="H32" i="5"/>
  <c r="W32" i="5" l="1"/>
  <c r="X32" i="5" s="1"/>
  <c r="B33" i="5"/>
  <c r="H33" i="5" l="1"/>
  <c r="AC33" i="5"/>
  <c r="I33" i="5"/>
  <c r="Q33" i="5" s="1"/>
  <c r="B34" i="5" l="1"/>
  <c r="W33" i="5"/>
  <c r="X33" i="5" s="1"/>
  <c r="H34" i="5" l="1"/>
  <c r="I34" i="5"/>
  <c r="Q34" i="5" s="1"/>
  <c r="W34" i="5" s="1"/>
  <c r="X34" i="5" s="1"/>
  <c r="AC3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tc={9FF7E6E5-828F-4798-9E5D-78CC687DCA6E}</author>
  </authors>
  <commentList>
    <comment ref="A59" authorId="0" shapeId="0" xr:uid="{9FF7E6E5-828F-4798-9E5D-78CC687DCA6E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Model does not account for population stability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tc={FF1C7E49-38CB-4A1B-96F0-ECA39CF44EEA}</author>
  </authors>
  <commentList>
    <comment ref="A59" authorId="0" shapeId="0" xr:uid="{FF1C7E49-38CB-4A1B-96F0-ECA39CF44EEA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Model does not account for population stability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tc={53B76073-B0C8-48F8-95D3-2E7D2F203A2B}</author>
  </authors>
  <commentList>
    <comment ref="A59" authorId="0" shapeId="0" xr:uid="{53B76073-B0C8-48F8-95D3-2E7D2F203A2B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Model does not account for population stability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tc={9C0617AE-90B0-48D7-B3DE-A8636E4086F9}</author>
  </authors>
  <commentList>
    <comment ref="A59" authorId="0" shapeId="0" xr:uid="{9C0617AE-90B0-48D7-B3DE-A8636E4086F9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Model does not account for population stability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tc={52C79E9C-6664-4B9F-9EA9-49DCF501D2C4}</author>
  </authors>
  <commentList>
    <comment ref="A59" authorId="0" shapeId="0" xr:uid="{52C79E9C-6664-4B9F-9EA9-49DCF501D2C4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Model does not account for population stability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tc={CC7575BC-9F2D-47E2-AC98-F52C50EFE83C}</author>
  </authors>
  <commentList>
    <comment ref="A59" authorId="0" shapeId="0" xr:uid="{CC7575BC-9F2D-47E2-AC98-F52C50EFE83C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Model does not account for population stability</t>
      </text>
    </comment>
  </commentList>
</comments>
</file>

<file path=xl/sharedStrings.xml><?xml version="1.0" encoding="utf-8"?>
<sst xmlns="http://schemas.openxmlformats.org/spreadsheetml/2006/main" count="496" uniqueCount="88">
  <si>
    <t>finite_rate</t>
  </si>
  <si>
    <t>instantaneous_rate</t>
  </si>
  <si>
    <t>6mo_prob</t>
  </si>
  <si>
    <t>N_harvest</t>
  </si>
  <si>
    <t>percent_harvest</t>
  </si>
  <si>
    <t>Npreharvest</t>
  </si>
  <si>
    <t>admale_nhm</t>
  </si>
  <si>
    <t>doebuckratio</t>
  </si>
  <si>
    <t>150:100</t>
  </si>
  <si>
    <t>male</t>
  </si>
  <si>
    <t>female</t>
  </si>
  <si>
    <t>adfemale_nhm</t>
  </si>
  <si>
    <t>adultprop</t>
  </si>
  <si>
    <t>N_preharvest_ad</t>
  </si>
  <si>
    <t>yearmale_nhm</t>
  </si>
  <si>
    <t>yearlingprop</t>
  </si>
  <si>
    <t>N_preharvest_y</t>
  </si>
  <si>
    <t>yearfemale_nhm</t>
  </si>
  <si>
    <t>fawnprop</t>
  </si>
  <si>
    <t>N_preharvest_F</t>
  </si>
  <si>
    <t>fawnmale_nhm</t>
  </si>
  <si>
    <t>adfemale_preg</t>
  </si>
  <si>
    <t>80%does with twins</t>
  </si>
  <si>
    <t>fawnfemale_nhm</t>
  </si>
  <si>
    <t>yfemale_preg</t>
  </si>
  <si>
    <t>20% yfemales with 1 fawn</t>
  </si>
  <si>
    <t>6mofawns_nhm</t>
  </si>
  <si>
    <t>Year</t>
  </si>
  <si>
    <t>N_admale_posth</t>
  </si>
  <si>
    <t>N_adfemale_posth</t>
  </si>
  <si>
    <t>N_ymale_posth</t>
  </si>
  <si>
    <t>N_yfemale_posth</t>
  </si>
  <si>
    <t>N_fawnmale_posth</t>
  </si>
  <si>
    <t>N_fawnfemale_posth</t>
  </si>
  <si>
    <t>N_postharvest</t>
  </si>
  <si>
    <t>N_admale_mid</t>
  </si>
  <si>
    <t>N_adfemale_mid</t>
  </si>
  <si>
    <t>N_ymale_mid</t>
  </si>
  <si>
    <t>N_yfemale_mid</t>
  </si>
  <si>
    <t>N_fawnmale_mid</t>
  </si>
  <si>
    <t>N_fawnfemale_mid</t>
  </si>
  <si>
    <t>birth_malefawn</t>
  </si>
  <si>
    <t>birth_femalefawn</t>
  </si>
  <si>
    <t>N_admale_preh</t>
  </si>
  <si>
    <t>N_adfemale_preh</t>
  </si>
  <si>
    <t>N_ymale_preh</t>
  </si>
  <si>
    <t>N_yfemale_preh</t>
  </si>
  <si>
    <t>N_fawnmale_preh</t>
  </si>
  <si>
    <t>N_fawnfemale_preh</t>
  </si>
  <si>
    <t>N_preharvest</t>
  </si>
  <si>
    <t>lambda</t>
  </si>
  <si>
    <t>NA</t>
  </si>
  <si>
    <t xml:space="preserve">Year </t>
  </si>
  <si>
    <t>County</t>
  </si>
  <si>
    <t>Lauderdale</t>
  </si>
  <si>
    <t>estimate of total abundance</t>
  </si>
  <si>
    <t>sex-age-kill model:</t>
  </si>
  <si>
    <t>Estimated adult male harvest in year</t>
  </si>
  <si>
    <t>total annual mortality rate of adult male</t>
  </si>
  <si>
    <t>prop of total male mort due to harvest</t>
  </si>
  <si>
    <t>est. ratio adult F: adult M in pop</t>
  </si>
  <si>
    <t>Est ratio of juvenile to adult F in pop</t>
  </si>
  <si>
    <t>Data Source</t>
  </si>
  <si>
    <t>Math</t>
  </si>
  <si>
    <t>ADCR</t>
  </si>
  <si>
    <t>https://wildlife.onlinelibrary.wiley.com/doi/epdf/10.2193/2008-099</t>
  </si>
  <si>
    <t>doe:buck ratio</t>
  </si>
  <si>
    <t>https://wildlife.onlinelibrary.wiley.com/doi/pdfdirect/10.1002/wsb.1391</t>
  </si>
  <si>
    <t>Finding ratio of F within the adult prop</t>
  </si>
  <si>
    <t>Yearling based on 11% harvest rate</t>
  </si>
  <si>
    <t>Yearling based on 18%harvest rate</t>
  </si>
  <si>
    <t>Fawn based on 12% harvest rate. Divided in half to account for both sex</t>
  </si>
  <si>
    <t>Total Harvest</t>
  </si>
  <si>
    <t>N_CFawn</t>
  </si>
  <si>
    <t>N_Cyear</t>
  </si>
  <si>
    <t>N_Cbirth</t>
  </si>
  <si>
    <t>N_Cadult</t>
  </si>
  <si>
    <t>Km^2 of land</t>
  </si>
  <si>
    <t>Preharvest Density</t>
  </si>
  <si>
    <t>Postharvest Density</t>
  </si>
  <si>
    <t>Statewide population</t>
  </si>
  <si>
    <t>Preharvest</t>
  </si>
  <si>
    <t>Postharvest</t>
  </si>
  <si>
    <t>Average Harvest</t>
  </si>
  <si>
    <t>Bucks</t>
  </si>
  <si>
    <t>Does</t>
  </si>
  <si>
    <t>Average Harvest / county</t>
  </si>
  <si>
    <t>Model_Harvest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</si>
</sst>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93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FF9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0" xfId="0" applyFill="1" applyProtection="1">
      <protection locked="0"/>
    </xf>
    <xf numFmtId="0" fontId="0" fillId="6" borderId="0" xfId="0" applyFill="1" applyProtection="1">
      <protection locked="0"/>
    </xf>
    <xf numFmtId="0" fontId="0" fillId="7" borderId="0" xfId="0" applyFill="1" applyProtection="1">
      <protection locked="0"/>
    </xf>
    <xf numFmtId="0" fontId="0" fillId="4" borderId="0" xfId="0" applyFill="1"/>
    <xf numFmtId="0" fontId="0" fillId="8" borderId="0" xfId="0" applyFill="1"/>
    <xf numFmtId="0" fontId="0" fillId="8" borderId="0" xfId="0" applyFill="1" applyProtection="1">
      <protection locked="0"/>
    </xf>
    <xf numFmtId="0" fontId="1" fillId="0" borderId="0" xfId="1" applyProtection="1">
      <protection locked="0"/>
    </xf>
    <xf numFmtId="0" fontId="0" fillId="9" borderId="0" xfId="0" applyFill="1" applyProtection="1">
      <protection locked="0"/>
    </xf>
    <xf numFmtId="0" fontId="0" fillId="10" borderId="0" xfId="0" applyFill="1" applyProtection="1">
      <protection locked="0"/>
    </xf>
    <xf numFmtId="0" fontId="0" fillId="11" borderId="0" xfId="0" applyFill="1"/>
    <xf numFmtId="0" fontId="0" fillId="12" borderId="0" xfId="0" applyFill="1" applyProtection="1">
      <protection locked="0"/>
    </xf>
    <xf numFmtId="43" fontId="0" fillId="12" borderId="0" xfId="2" applyFont="1" applyFill="1" applyProtection="1">
      <protection locked="0"/>
    </xf>
    <xf numFmtId="0" fontId="3" fillId="12" borderId="0" xfId="0" applyFont="1" applyFill="1" applyProtection="1">
      <protection locked="0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FF99"/>
      <color rgb="FFCC00CC"/>
      <color rgb="FFFF9900"/>
      <color rgb="FFFF9933"/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Postharvest</c:v>
          </c:tx>
          <c:spPr>
            <a:ln w="412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General!$A$13:$A$32</c:f>
              <c:numCache>
                <c:formatCode>General</c:formatCode>
                <c:ptCount val="20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</c:numCache>
            </c:numRef>
          </c:xVal>
          <c:yVal>
            <c:numRef>
              <c:f>General!$H$13:$H$32</c:f>
              <c:numCache>
                <c:formatCode>General</c:formatCode>
                <c:ptCount val="20"/>
                <c:pt idx="0">
                  <c:v>17179</c:v>
                </c:pt>
                <c:pt idx="1">
                  <c:v>14236</c:v>
                </c:pt>
                <c:pt idx="2">
                  <c:v>13073</c:v>
                </c:pt>
                <c:pt idx="3">
                  <c:v>11752</c:v>
                </c:pt>
                <c:pt idx="4">
                  <c:v>10172</c:v>
                </c:pt>
                <c:pt idx="5">
                  <c:v>8862</c:v>
                </c:pt>
                <c:pt idx="6">
                  <c:v>7755</c:v>
                </c:pt>
                <c:pt idx="7">
                  <c:v>6752</c:v>
                </c:pt>
                <c:pt idx="8">
                  <c:v>5876</c:v>
                </c:pt>
                <c:pt idx="9">
                  <c:v>5122</c:v>
                </c:pt>
                <c:pt idx="10">
                  <c:v>4463</c:v>
                </c:pt>
                <c:pt idx="11">
                  <c:v>3887</c:v>
                </c:pt>
                <c:pt idx="12">
                  <c:v>3388</c:v>
                </c:pt>
                <c:pt idx="13">
                  <c:v>2951</c:v>
                </c:pt>
                <c:pt idx="14">
                  <c:v>2570</c:v>
                </c:pt>
                <c:pt idx="15">
                  <c:v>2237</c:v>
                </c:pt>
                <c:pt idx="16">
                  <c:v>1949</c:v>
                </c:pt>
                <c:pt idx="17">
                  <c:v>1698</c:v>
                </c:pt>
                <c:pt idx="18">
                  <c:v>1478</c:v>
                </c:pt>
                <c:pt idx="19">
                  <c:v>1289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49-4971-B50A-F5E686D4BD0B}"/>
            </c:ext>
          </c:extLst>
        </c:ser>
        <c:ser>
          <c:idx val="1"/>
          <c:order val="1"/>
          <c:tx>
            <c:v>Preharvest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General!$A$13:$A$32</c:f>
              <c:numCache>
                <c:formatCode>General</c:formatCode>
                <c:ptCount val="20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</c:numCache>
            </c:numRef>
          </c:xVal>
          <c:yVal>
            <c:numRef>
              <c:f>General!$W$13:$W$32</c:f>
              <c:numCache>
                <c:formatCode>General</c:formatCode>
                <c:ptCount val="20"/>
                <c:pt idx="0">
                  <c:v>18436</c:v>
                </c:pt>
                <c:pt idx="1">
                  <c:v>16244</c:v>
                </c:pt>
                <c:pt idx="2">
                  <c:v>14470</c:v>
                </c:pt>
                <c:pt idx="3">
                  <c:v>12782</c:v>
                </c:pt>
                <c:pt idx="4">
                  <c:v>11188</c:v>
                </c:pt>
                <c:pt idx="5">
                  <c:v>9745</c:v>
                </c:pt>
                <c:pt idx="6">
                  <c:v>8497</c:v>
                </c:pt>
                <c:pt idx="7">
                  <c:v>7404</c:v>
                </c:pt>
                <c:pt idx="8">
                  <c:v>6449</c:v>
                </c:pt>
                <c:pt idx="9">
                  <c:v>5618</c:v>
                </c:pt>
                <c:pt idx="10">
                  <c:v>4895</c:v>
                </c:pt>
                <c:pt idx="11">
                  <c:v>4265</c:v>
                </c:pt>
                <c:pt idx="12">
                  <c:v>3716</c:v>
                </c:pt>
                <c:pt idx="13">
                  <c:v>3236</c:v>
                </c:pt>
                <c:pt idx="14">
                  <c:v>2817</c:v>
                </c:pt>
                <c:pt idx="15">
                  <c:v>2454</c:v>
                </c:pt>
                <c:pt idx="16">
                  <c:v>2138</c:v>
                </c:pt>
                <c:pt idx="17">
                  <c:v>1861</c:v>
                </c:pt>
                <c:pt idx="18">
                  <c:v>1623</c:v>
                </c:pt>
                <c:pt idx="19">
                  <c:v>1411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49-4971-B50A-F5E686D4B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9634607"/>
        <c:axId val="1359635087"/>
      </c:scatterChart>
      <c:valAx>
        <c:axId val="1359634607"/>
        <c:scaling>
          <c:orientation val="minMax"/>
          <c:max val="2030"/>
          <c:min val="202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635087"/>
        <c:crosses val="autoZero"/>
        <c:crossBetween val="midCat"/>
        <c:majorUnit val="2"/>
      </c:valAx>
      <c:valAx>
        <c:axId val="13596350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Population</a:t>
                </a:r>
                <a:r>
                  <a:rPr lang="en-US" baseline="0"/>
                  <a:t> count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6346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Preharvest</a:t>
            </a:r>
            <a:r>
              <a:rPr lang="en-US" baseline="0"/>
              <a:t> - 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v>Birth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General!$A$13:$A$32</c15:sqref>
                  </c15:fullRef>
                </c:ext>
              </c:extLst>
              <c:f>General!$A$13:$A$19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General!$O$13:$O$32</c15:sqref>
                  </c15:fullRef>
                </c:ext>
              </c:extLst>
              <c:f>General!$O$13:$O$19</c:f>
              <c:numCache>
                <c:formatCode>General</c:formatCode>
                <c:ptCount val="7"/>
                <c:pt idx="0">
                  <c:v>3291</c:v>
                </c:pt>
                <c:pt idx="1">
                  <c:v>3548</c:v>
                </c:pt>
                <c:pt idx="2">
                  <c:v>3022</c:v>
                </c:pt>
                <c:pt idx="3">
                  <c:v>2501</c:v>
                </c:pt>
                <c:pt idx="4">
                  <c:v>2237</c:v>
                </c:pt>
                <c:pt idx="5">
                  <c:v>1961</c:v>
                </c:pt>
                <c:pt idx="6">
                  <c:v>1691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58-4999-B28F-DF608D9ED5D3}"/>
            </c:ext>
          </c:extLst>
        </c:ser>
        <c:ser>
          <c:idx val="4"/>
          <c:order val="1"/>
          <c:tx>
            <c:v>Fawn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General!$A$13:$A$32</c15:sqref>
                  </c15:fullRef>
                </c:ext>
              </c:extLst>
              <c:f>General!$A$13:$A$19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General!$U$13:$U$32</c15:sqref>
                  </c15:fullRef>
                </c:ext>
              </c:extLst>
              <c:f>General!$U$13:$U$19</c:f>
              <c:numCache>
                <c:formatCode>General</c:formatCode>
                <c:ptCount val="7"/>
                <c:pt idx="0">
                  <c:v>2339</c:v>
                </c:pt>
                <c:pt idx="1">
                  <c:v>2521</c:v>
                </c:pt>
                <c:pt idx="2">
                  <c:v>2148</c:v>
                </c:pt>
                <c:pt idx="3">
                  <c:v>1777</c:v>
                </c:pt>
                <c:pt idx="4">
                  <c:v>1590</c:v>
                </c:pt>
                <c:pt idx="5">
                  <c:v>1394</c:v>
                </c:pt>
                <c:pt idx="6">
                  <c:v>1202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358-4999-B28F-DF608D9ED5D3}"/>
            </c:ext>
          </c:extLst>
        </c:ser>
        <c:ser>
          <c:idx val="3"/>
          <c:order val="2"/>
          <c:tx>
            <c:v>Young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General!$A$13:$A$32</c15:sqref>
                  </c15:fullRef>
                </c:ext>
              </c:extLst>
              <c:f>General!$A$13:$A$19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General!$S$13:$S$32</c15:sqref>
                  </c15:fullRef>
                </c:ext>
              </c:extLst>
              <c:f>General!$S$13:$S$19</c:f>
              <c:numCache>
                <c:formatCode>General</c:formatCode>
                <c:ptCount val="7"/>
                <c:pt idx="0">
                  <c:v>1440</c:v>
                </c:pt>
                <c:pt idx="1">
                  <c:v>1571</c:v>
                </c:pt>
                <c:pt idx="2">
                  <c:v>1693</c:v>
                </c:pt>
                <c:pt idx="3">
                  <c:v>1443</c:v>
                </c:pt>
                <c:pt idx="4">
                  <c:v>1194</c:v>
                </c:pt>
                <c:pt idx="5">
                  <c:v>1068</c:v>
                </c:pt>
                <c:pt idx="6">
                  <c:v>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58-4999-B28F-DF608D9ED5D3}"/>
            </c:ext>
          </c:extLst>
        </c:ser>
        <c:ser>
          <c:idx val="2"/>
          <c:order val="3"/>
          <c:tx>
            <c:v>Adult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General!$A$13:$A$32</c15:sqref>
                  </c15:fullRef>
                </c:ext>
              </c:extLst>
              <c:f>General!$A$13:$A$19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General!$Q$13:$Q$32</c15:sqref>
                  </c15:fullRef>
                </c:ext>
              </c:extLst>
              <c:f>General!$Q$13:$Q$19</c:f>
              <c:numCache>
                <c:formatCode>General</c:formatCode>
                <c:ptCount val="7"/>
                <c:pt idx="0">
                  <c:v>3405</c:v>
                </c:pt>
                <c:pt idx="1">
                  <c:v>2269</c:v>
                </c:pt>
                <c:pt idx="2">
                  <c:v>2054</c:v>
                </c:pt>
                <c:pt idx="3">
                  <c:v>2099</c:v>
                </c:pt>
                <c:pt idx="4">
                  <c:v>1890</c:v>
                </c:pt>
                <c:pt idx="5">
                  <c:v>1609</c:v>
                </c:pt>
                <c:pt idx="6">
                  <c:v>1416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58-4999-B28F-DF608D9ED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23452447"/>
        <c:axId val="1423450527"/>
      </c:barChart>
      <c:catAx>
        <c:axId val="1423452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47573262389501125"/>
              <c:y val="0.94683651420339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450527"/>
        <c:crosses val="autoZero"/>
        <c:auto val="1"/>
        <c:lblAlgn val="ctr"/>
        <c:lblOffset val="100"/>
        <c:tickMarkSkip val="2"/>
        <c:noMultiLvlLbl val="0"/>
      </c:catAx>
      <c:valAx>
        <c:axId val="142345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47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Population</a:t>
                </a:r>
                <a:r>
                  <a:rPr lang="en-US" baseline="0"/>
                  <a:t> count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452447"/>
        <c:crossesAt val="1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Preharvest</a:t>
            </a:r>
            <a:r>
              <a:rPr lang="en-US" baseline="0"/>
              <a:t> - Female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v>Birth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General!$A$13:$A$32</c15:sqref>
                  </c15:fullRef>
                </c:ext>
              </c:extLst>
              <c:f>General!$A$13:$A$19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General!$P$13:$P$32</c15:sqref>
                  </c15:fullRef>
                </c:ext>
              </c:extLst>
              <c:f>General!$P$13:$P$19</c:f>
              <c:numCache>
                <c:formatCode>General</c:formatCode>
                <c:ptCount val="7"/>
                <c:pt idx="0">
                  <c:v>3291</c:v>
                </c:pt>
                <c:pt idx="1">
                  <c:v>3548</c:v>
                </c:pt>
                <c:pt idx="2">
                  <c:v>3022</c:v>
                </c:pt>
                <c:pt idx="3">
                  <c:v>2501</c:v>
                </c:pt>
                <c:pt idx="4">
                  <c:v>2237</c:v>
                </c:pt>
                <c:pt idx="5">
                  <c:v>1961</c:v>
                </c:pt>
                <c:pt idx="6">
                  <c:v>1691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9D-4EB7-98CE-3945F2E18EE7}"/>
            </c:ext>
          </c:extLst>
        </c:ser>
        <c:ser>
          <c:idx val="4"/>
          <c:order val="1"/>
          <c:tx>
            <c:v>Fawn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General!$A$13:$A$32</c15:sqref>
                  </c15:fullRef>
                </c:ext>
              </c:extLst>
              <c:f>General!$A$13:$A$19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General!$V$13:$V$32</c15:sqref>
                  </c15:fullRef>
                </c:ext>
              </c:extLst>
              <c:f>General!$V$13:$V$19</c:f>
              <c:numCache>
                <c:formatCode>General</c:formatCode>
                <c:ptCount val="7"/>
                <c:pt idx="0">
                  <c:v>2339</c:v>
                </c:pt>
                <c:pt idx="1">
                  <c:v>2521</c:v>
                </c:pt>
                <c:pt idx="2">
                  <c:v>2148</c:v>
                </c:pt>
                <c:pt idx="3">
                  <c:v>1777</c:v>
                </c:pt>
                <c:pt idx="4">
                  <c:v>1590</c:v>
                </c:pt>
                <c:pt idx="5">
                  <c:v>1394</c:v>
                </c:pt>
                <c:pt idx="6">
                  <c:v>1202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9D-4EB7-98CE-3945F2E18EE7}"/>
            </c:ext>
          </c:extLst>
        </c:ser>
        <c:ser>
          <c:idx val="3"/>
          <c:order val="2"/>
          <c:tx>
            <c:v>Young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General!$A$13:$A$32</c15:sqref>
                  </c15:fullRef>
                </c:ext>
              </c:extLst>
              <c:f>General!$A$13:$A$19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General!$T$13:$T$32</c15:sqref>
                  </c15:fullRef>
                </c:ext>
              </c:extLst>
              <c:f>General!$T$13:$T$19</c:f>
              <c:numCache>
                <c:formatCode>General</c:formatCode>
                <c:ptCount val="7"/>
                <c:pt idx="0">
                  <c:v>2297</c:v>
                </c:pt>
                <c:pt idx="1">
                  <c:v>1670</c:v>
                </c:pt>
                <c:pt idx="2">
                  <c:v>1800</c:v>
                </c:pt>
                <c:pt idx="3">
                  <c:v>1534</c:v>
                </c:pt>
                <c:pt idx="4">
                  <c:v>1269</c:v>
                </c:pt>
                <c:pt idx="5">
                  <c:v>1135</c:v>
                </c:pt>
                <c:pt idx="6">
                  <c:v>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9D-4EB7-98CE-3945F2E18EE7}"/>
            </c:ext>
          </c:extLst>
        </c:ser>
        <c:ser>
          <c:idx val="2"/>
          <c:order val="3"/>
          <c:tx>
            <c:v>Adult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General!$A$13:$A$32</c15:sqref>
                  </c15:fullRef>
                </c:ext>
              </c:extLst>
              <c:f>General!$A$13:$A$19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General!$R$13:$R$32</c15:sqref>
                  </c15:fullRef>
                </c:ext>
              </c:extLst>
              <c:f>General!$R$13:$R$19</c:f>
              <c:numCache>
                <c:formatCode>General</c:formatCode>
                <c:ptCount val="7"/>
                <c:pt idx="0">
                  <c:v>6616</c:v>
                </c:pt>
                <c:pt idx="1">
                  <c:v>5692</c:v>
                </c:pt>
                <c:pt idx="2">
                  <c:v>4627</c:v>
                </c:pt>
                <c:pt idx="3">
                  <c:v>4152</c:v>
                </c:pt>
                <c:pt idx="4">
                  <c:v>3655</c:v>
                </c:pt>
                <c:pt idx="5">
                  <c:v>3145</c:v>
                </c:pt>
                <c:pt idx="6">
                  <c:v>2744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9D-4EB7-98CE-3945F2E18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23452447"/>
        <c:axId val="1423450527"/>
      </c:barChart>
      <c:catAx>
        <c:axId val="1423452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47573262389501125"/>
              <c:y val="0.94683651420339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solidFill>
            <a:schemeClr val="bg2">
              <a:lumMod val="90000"/>
            </a:schemeClr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450527"/>
        <c:crosses val="autoZero"/>
        <c:auto val="1"/>
        <c:lblAlgn val="ctr"/>
        <c:lblOffset val="100"/>
        <c:tickMarkSkip val="2"/>
        <c:noMultiLvlLbl val="0"/>
      </c:catAx>
      <c:valAx>
        <c:axId val="142345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Population</a:t>
                </a:r>
                <a:r>
                  <a:rPr lang="en-US" baseline="0"/>
                  <a:t> count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452447"/>
        <c:crossesAt val="1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Postharvest</a:t>
            </a:r>
            <a:r>
              <a:rPr lang="en-US" baseline="0"/>
              <a:t> - 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v>Birth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General!$A$13:$A$32</c15:sqref>
                  </c15:fullRef>
                </c:ext>
              </c:extLst>
              <c:f>General!$A$13:$A$19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General!$O$13:$O$32</c15:sqref>
                  </c15:fullRef>
                </c:ext>
              </c:extLst>
              <c:f>General!$O$13:$O$19</c:f>
              <c:numCache>
                <c:formatCode>General</c:formatCode>
                <c:ptCount val="7"/>
                <c:pt idx="0">
                  <c:v>3291</c:v>
                </c:pt>
                <c:pt idx="1">
                  <c:v>3548</c:v>
                </c:pt>
                <c:pt idx="2">
                  <c:v>3022</c:v>
                </c:pt>
                <c:pt idx="3">
                  <c:v>2501</c:v>
                </c:pt>
                <c:pt idx="4">
                  <c:v>2237</c:v>
                </c:pt>
                <c:pt idx="5">
                  <c:v>1961</c:v>
                </c:pt>
                <c:pt idx="6">
                  <c:v>1691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1A-464B-A11E-BCF0D878C765}"/>
            </c:ext>
          </c:extLst>
        </c:ser>
        <c:ser>
          <c:idx val="4"/>
          <c:order val="1"/>
          <c:tx>
            <c:v>Fawn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General!$A$13:$A$32</c15:sqref>
                  </c15:fullRef>
                </c:ext>
              </c:extLst>
              <c:f>General!$A$13:$A$19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General!$F$13:$F$32</c15:sqref>
                  </c15:fullRef>
                </c:ext>
              </c:extLst>
              <c:f>General!$F$13:$F$19</c:f>
              <c:numCache>
                <c:formatCode>General</c:formatCode>
                <c:ptCount val="7"/>
                <c:pt idx="0">
                  <c:v>2144</c:v>
                </c:pt>
                <c:pt idx="1">
                  <c:v>2339</c:v>
                </c:pt>
                <c:pt idx="2">
                  <c:v>2521</c:v>
                </c:pt>
                <c:pt idx="3">
                  <c:v>2148</c:v>
                </c:pt>
                <c:pt idx="4">
                  <c:v>1777</c:v>
                </c:pt>
                <c:pt idx="5">
                  <c:v>1590</c:v>
                </c:pt>
                <c:pt idx="6">
                  <c:v>1394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1A-464B-A11E-BCF0D878C765}"/>
            </c:ext>
          </c:extLst>
        </c:ser>
        <c:ser>
          <c:idx val="3"/>
          <c:order val="2"/>
          <c:tx>
            <c:v>Young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General!$A$13:$A$32</c15:sqref>
                  </c15:fullRef>
                </c:ext>
              </c:extLst>
              <c:f>General!$A$13:$A$19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General!$D$13:$D$32</c15:sqref>
                  </c15:fullRef>
                </c:ext>
              </c:extLst>
              <c:f>General!$D$13:$D$19</c:f>
              <c:numCache>
                <c:formatCode>General</c:formatCode>
                <c:ptCount val="7"/>
                <c:pt idx="0">
                  <c:v>2573</c:v>
                </c:pt>
                <c:pt idx="1">
                  <c:v>1440</c:v>
                </c:pt>
                <c:pt idx="2">
                  <c:v>1571</c:v>
                </c:pt>
                <c:pt idx="3">
                  <c:v>1693</c:v>
                </c:pt>
                <c:pt idx="4">
                  <c:v>1443</c:v>
                </c:pt>
                <c:pt idx="5">
                  <c:v>1194</c:v>
                </c:pt>
                <c:pt idx="6">
                  <c:v>1068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1A-464B-A11E-BCF0D878C765}"/>
            </c:ext>
          </c:extLst>
        </c:ser>
        <c:ser>
          <c:idx val="2"/>
          <c:order val="3"/>
          <c:tx>
            <c:v>Adult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General!$A$13:$A$32</c15:sqref>
                  </c15:fullRef>
                </c:ext>
              </c:extLst>
              <c:f>General!$A$13:$A$19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General!$B$13:$B$32</c15:sqref>
                  </c15:fullRef>
                </c:ext>
              </c:extLst>
              <c:f>General!$B$13:$B$19</c:f>
              <c:numCache>
                <c:formatCode>General</c:formatCode>
                <c:ptCount val="7"/>
                <c:pt idx="0">
                  <c:v>1274</c:v>
                </c:pt>
                <c:pt idx="1">
                  <c:v>1124</c:v>
                </c:pt>
                <c:pt idx="2">
                  <c:v>749</c:v>
                </c:pt>
                <c:pt idx="3">
                  <c:v>678</c:v>
                </c:pt>
                <c:pt idx="4">
                  <c:v>693</c:v>
                </c:pt>
                <c:pt idx="5">
                  <c:v>624</c:v>
                </c:pt>
                <c:pt idx="6">
                  <c:v>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1A-464B-A11E-BCF0D878C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23452447"/>
        <c:axId val="1423450527"/>
      </c:barChart>
      <c:catAx>
        <c:axId val="1423452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47573262389501125"/>
              <c:y val="0.94683651420339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450527"/>
        <c:crosses val="autoZero"/>
        <c:auto val="1"/>
        <c:lblAlgn val="ctr"/>
        <c:lblOffset val="100"/>
        <c:tickMarkSkip val="2"/>
        <c:noMultiLvlLbl val="0"/>
      </c:catAx>
      <c:valAx>
        <c:axId val="142345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Population</a:t>
                </a:r>
                <a:r>
                  <a:rPr lang="en-US" baseline="0"/>
                  <a:t> count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452447"/>
        <c:crossesAt val="1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Postharvest</a:t>
            </a:r>
            <a:r>
              <a:rPr lang="en-US" baseline="0"/>
              <a:t> - Female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7339665484685"/>
          <c:y val="0.1022479348736107"/>
          <c:w val="0.77579561293779198"/>
          <c:h val="0.7260154952300939"/>
        </c:manualLayout>
      </c:layout>
      <c:barChart>
        <c:barDir val="col"/>
        <c:grouping val="stacked"/>
        <c:varyColors val="0"/>
        <c:ser>
          <c:idx val="1"/>
          <c:order val="0"/>
          <c:tx>
            <c:v>Birth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General!$A$13:$A$32</c15:sqref>
                  </c15:fullRef>
                </c:ext>
              </c:extLst>
              <c:f>General!$A$13:$A$19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General!$P$13:$P$32</c15:sqref>
                  </c15:fullRef>
                </c:ext>
              </c:extLst>
              <c:f>General!$P$13:$P$19</c:f>
              <c:numCache>
                <c:formatCode>General</c:formatCode>
                <c:ptCount val="7"/>
                <c:pt idx="0">
                  <c:v>3291</c:v>
                </c:pt>
                <c:pt idx="1">
                  <c:v>3548</c:v>
                </c:pt>
                <c:pt idx="2">
                  <c:v>3022</c:v>
                </c:pt>
                <c:pt idx="3">
                  <c:v>2501</c:v>
                </c:pt>
                <c:pt idx="4">
                  <c:v>2237</c:v>
                </c:pt>
                <c:pt idx="5">
                  <c:v>1961</c:v>
                </c:pt>
                <c:pt idx="6">
                  <c:v>1691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A6-4638-B469-B609D192FF16}"/>
            </c:ext>
          </c:extLst>
        </c:ser>
        <c:ser>
          <c:idx val="4"/>
          <c:order val="1"/>
          <c:tx>
            <c:v>Fawn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General!$A$13:$A$32</c15:sqref>
                  </c15:fullRef>
                </c:ext>
              </c:extLst>
              <c:f>General!$A$13:$A$19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General!$G$13:$G$32</c15:sqref>
                  </c15:fullRef>
                </c:ext>
              </c:extLst>
              <c:f>General!$G$13:$G$19</c:f>
              <c:numCache>
                <c:formatCode>General</c:formatCode>
                <c:ptCount val="7"/>
                <c:pt idx="0">
                  <c:v>3217</c:v>
                </c:pt>
                <c:pt idx="1">
                  <c:v>2339</c:v>
                </c:pt>
                <c:pt idx="2">
                  <c:v>2521</c:v>
                </c:pt>
                <c:pt idx="3">
                  <c:v>2148</c:v>
                </c:pt>
                <c:pt idx="4">
                  <c:v>1777</c:v>
                </c:pt>
                <c:pt idx="5">
                  <c:v>1590</c:v>
                </c:pt>
                <c:pt idx="6">
                  <c:v>1394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A6-4638-B469-B609D192FF16}"/>
            </c:ext>
          </c:extLst>
        </c:ser>
        <c:ser>
          <c:idx val="3"/>
          <c:order val="2"/>
          <c:tx>
            <c:v>Young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General!$A$13:$A$32</c15:sqref>
                  </c15:fullRef>
                </c:ext>
              </c:extLst>
              <c:f>General!$A$13:$A$19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General!$E$13:$E$32</c15:sqref>
                  </c15:fullRef>
                </c:ext>
              </c:extLst>
              <c:f>General!$E$13:$E$19</c:f>
              <c:numCache>
                <c:formatCode>General</c:formatCode>
                <c:ptCount val="7"/>
                <c:pt idx="0">
                  <c:v>3860</c:v>
                </c:pt>
                <c:pt idx="1">
                  <c:v>2297</c:v>
                </c:pt>
                <c:pt idx="2">
                  <c:v>1670</c:v>
                </c:pt>
                <c:pt idx="3">
                  <c:v>1800</c:v>
                </c:pt>
                <c:pt idx="4">
                  <c:v>1534</c:v>
                </c:pt>
                <c:pt idx="5">
                  <c:v>1269</c:v>
                </c:pt>
                <c:pt idx="6">
                  <c:v>1135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A6-4638-B469-B609D192FF16}"/>
            </c:ext>
          </c:extLst>
        </c:ser>
        <c:ser>
          <c:idx val="2"/>
          <c:order val="3"/>
          <c:tx>
            <c:v>Adult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General!$A$13:$A$32</c15:sqref>
                  </c15:fullRef>
                </c:ext>
              </c:extLst>
              <c:f>General!$A$13:$A$19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General!$C$13:$C$32</c15:sqref>
                  </c15:fullRef>
                </c:ext>
              </c:extLst>
              <c:f>General!$C$13:$C$19</c:f>
              <c:numCache>
                <c:formatCode>General</c:formatCode>
                <c:ptCount val="7"/>
                <c:pt idx="0">
                  <c:v>4111</c:v>
                </c:pt>
                <c:pt idx="1">
                  <c:v>4697</c:v>
                </c:pt>
                <c:pt idx="2">
                  <c:v>4041</c:v>
                </c:pt>
                <c:pt idx="3">
                  <c:v>3285</c:v>
                </c:pt>
                <c:pt idx="4">
                  <c:v>2948</c:v>
                </c:pt>
                <c:pt idx="5">
                  <c:v>2595</c:v>
                </c:pt>
                <c:pt idx="6">
                  <c:v>2233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A6-4638-B469-B609D192F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23452447"/>
        <c:axId val="1423450527"/>
      </c:barChart>
      <c:catAx>
        <c:axId val="1423452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47573262389501125"/>
              <c:y val="0.94683651420339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450527"/>
        <c:crosses val="autoZero"/>
        <c:auto val="1"/>
        <c:lblAlgn val="ctr"/>
        <c:lblOffset val="100"/>
        <c:tickMarkSkip val="2"/>
        <c:noMultiLvlLbl val="0"/>
      </c:catAx>
      <c:valAx>
        <c:axId val="142345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Population</a:t>
                </a:r>
                <a:r>
                  <a:rPr lang="en-US" baseline="0"/>
                  <a:t> count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452447"/>
        <c:crossesAt val="1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Postharvest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'1.29'!$A$13:$A$32</c:f>
              <c:numCache>
                <c:formatCode>General</c:formatCode>
                <c:ptCount val="20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</c:numCache>
            </c:numRef>
          </c:xVal>
          <c:yVal>
            <c:numRef>
              <c:f>'1.29'!$H$13:$H$32</c:f>
              <c:numCache>
                <c:formatCode>General</c:formatCode>
                <c:ptCount val="20"/>
                <c:pt idx="0">
                  <c:v>14804</c:v>
                </c:pt>
                <c:pt idx="1">
                  <c:v>13474</c:v>
                </c:pt>
                <c:pt idx="2">
                  <c:v>13857</c:v>
                </c:pt>
                <c:pt idx="3">
                  <c:v>13922</c:v>
                </c:pt>
                <c:pt idx="4">
                  <c:v>13584</c:v>
                </c:pt>
                <c:pt idx="5">
                  <c:v>13353</c:v>
                </c:pt>
                <c:pt idx="6">
                  <c:v>13166</c:v>
                </c:pt>
                <c:pt idx="7">
                  <c:v>12938</c:v>
                </c:pt>
                <c:pt idx="8">
                  <c:v>12715</c:v>
                </c:pt>
                <c:pt idx="9">
                  <c:v>12507</c:v>
                </c:pt>
                <c:pt idx="10">
                  <c:v>12296</c:v>
                </c:pt>
                <c:pt idx="11">
                  <c:v>12090</c:v>
                </c:pt>
                <c:pt idx="12">
                  <c:v>11886</c:v>
                </c:pt>
                <c:pt idx="13">
                  <c:v>11687</c:v>
                </c:pt>
                <c:pt idx="14">
                  <c:v>11491</c:v>
                </c:pt>
                <c:pt idx="15">
                  <c:v>11297</c:v>
                </c:pt>
                <c:pt idx="16">
                  <c:v>11109</c:v>
                </c:pt>
                <c:pt idx="17">
                  <c:v>10921</c:v>
                </c:pt>
                <c:pt idx="18">
                  <c:v>10738</c:v>
                </c:pt>
                <c:pt idx="19">
                  <c:v>10557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C4-4ECA-B860-24D80E1F62AF}"/>
            </c:ext>
          </c:extLst>
        </c:ser>
        <c:ser>
          <c:idx val="1"/>
          <c:order val="1"/>
          <c:tx>
            <c:v>Preharvest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'1.29'!$A$13:$A$32</c:f>
              <c:numCache>
                <c:formatCode>General</c:formatCode>
                <c:ptCount val="20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</c:numCache>
            </c:numRef>
          </c:xVal>
          <c:yVal>
            <c:numRef>
              <c:f>'1.29'!$W$13:$W$32</c:f>
              <c:numCache>
                <c:formatCode>General</c:formatCode>
                <c:ptCount val="20"/>
                <c:pt idx="0">
                  <c:v>17394</c:v>
                </c:pt>
                <c:pt idx="1">
                  <c:v>17099</c:v>
                </c:pt>
                <c:pt idx="2">
                  <c:v>17075</c:v>
                </c:pt>
                <c:pt idx="3">
                  <c:v>16860</c:v>
                </c:pt>
                <c:pt idx="4">
                  <c:v>16606</c:v>
                </c:pt>
                <c:pt idx="5">
                  <c:v>16335</c:v>
                </c:pt>
                <c:pt idx="6">
                  <c:v>16062</c:v>
                </c:pt>
                <c:pt idx="7">
                  <c:v>15793</c:v>
                </c:pt>
                <c:pt idx="8">
                  <c:v>15529</c:v>
                </c:pt>
                <c:pt idx="9">
                  <c:v>15269</c:v>
                </c:pt>
                <c:pt idx="10">
                  <c:v>15012</c:v>
                </c:pt>
                <c:pt idx="11">
                  <c:v>14760</c:v>
                </c:pt>
                <c:pt idx="12">
                  <c:v>14514</c:v>
                </c:pt>
                <c:pt idx="13">
                  <c:v>14269</c:v>
                </c:pt>
                <c:pt idx="14">
                  <c:v>14030</c:v>
                </c:pt>
                <c:pt idx="15">
                  <c:v>13795</c:v>
                </c:pt>
                <c:pt idx="16">
                  <c:v>13562</c:v>
                </c:pt>
                <c:pt idx="17">
                  <c:v>13335</c:v>
                </c:pt>
                <c:pt idx="18">
                  <c:v>13109</c:v>
                </c:pt>
                <c:pt idx="19">
                  <c:v>12889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FC4-4ECA-B860-24D80E1F6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9634607"/>
        <c:axId val="1359635087"/>
      </c:scatterChart>
      <c:valAx>
        <c:axId val="1359634607"/>
        <c:scaling>
          <c:orientation val="minMax"/>
          <c:max val="2030"/>
          <c:min val="202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635087"/>
        <c:crosses val="autoZero"/>
        <c:crossBetween val="midCat"/>
        <c:majorUnit val="2"/>
      </c:valAx>
      <c:valAx>
        <c:axId val="13596350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Population</a:t>
                </a:r>
                <a:r>
                  <a:rPr lang="en-US" baseline="0"/>
                  <a:t> count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6346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Postharvest</a:t>
            </a:r>
            <a:r>
              <a:rPr lang="en-US" baseline="0"/>
              <a:t> - 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v>Birth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'1.29'!$A$13:$A$32</c15:sqref>
                  </c15:fullRef>
                </c:ext>
              </c:extLst>
              <c:f>'1.29'!$A$13:$A$19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'1.29'!$O$13:$O$32</c15:sqref>
                  </c15:fullRef>
                </c:ext>
              </c:extLst>
              <c:f>'1.29'!$O$13:$O$19</c:f>
              <c:numCache>
                <c:formatCode>General</c:formatCode>
                <c:ptCount val="7"/>
                <c:pt idx="0">
                  <c:v>3324</c:v>
                </c:pt>
                <c:pt idx="1">
                  <c:v>4014</c:v>
                </c:pt>
                <c:pt idx="2">
                  <c:v>3881</c:v>
                </c:pt>
                <c:pt idx="3">
                  <c:v>3658</c:v>
                </c:pt>
                <c:pt idx="4">
                  <c:v>3658</c:v>
                </c:pt>
                <c:pt idx="5">
                  <c:v>3616</c:v>
                </c:pt>
                <c:pt idx="6">
                  <c:v>3535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B8-4F7E-AD3F-1166BE18DF45}"/>
            </c:ext>
          </c:extLst>
        </c:ser>
        <c:ser>
          <c:idx val="4"/>
          <c:order val="1"/>
          <c:tx>
            <c:v>Fawn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'1.29'!$A$13:$A$32</c15:sqref>
                  </c15:fullRef>
                </c:ext>
              </c:extLst>
              <c:f>'1.29'!$A$13:$A$19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'1.29'!$F$13:$F$32</c15:sqref>
                  </c15:fullRef>
                </c:ext>
              </c:extLst>
              <c:f>'1.29'!$F$13:$F$19</c:f>
              <c:numCache>
                <c:formatCode>General</c:formatCode>
                <c:ptCount val="7"/>
                <c:pt idx="0">
                  <c:v>1813</c:v>
                </c:pt>
                <c:pt idx="1">
                  <c:v>2244</c:v>
                </c:pt>
                <c:pt idx="2">
                  <c:v>2709</c:v>
                </c:pt>
                <c:pt idx="3">
                  <c:v>2620</c:v>
                </c:pt>
                <c:pt idx="4">
                  <c:v>2469</c:v>
                </c:pt>
                <c:pt idx="5">
                  <c:v>2469</c:v>
                </c:pt>
                <c:pt idx="6">
                  <c:v>2442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B8-4F7E-AD3F-1166BE18DF45}"/>
            </c:ext>
          </c:extLst>
        </c:ser>
        <c:ser>
          <c:idx val="3"/>
          <c:order val="2"/>
          <c:tx>
            <c:v>Young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'1.29'!$A$13:$A$32</c15:sqref>
                  </c15:fullRef>
                </c:ext>
              </c:extLst>
              <c:f>'1.29'!$A$13:$A$19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'1.29'!$D$13:$D$32</c15:sqref>
                  </c15:fullRef>
                </c:ext>
              </c:extLst>
              <c:f>'1.29'!$D$13:$D$19</c:f>
              <c:numCache>
                <c:formatCode>General</c:formatCode>
                <c:ptCount val="7"/>
                <c:pt idx="0">
                  <c:v>2015</c:v>
                </c:pt>
                <c:pt idx="1">
                  <c:v>1072</c:v>
                </c:pt>
                <c:pt idx="2">
                  <c:v>1327</c:v>
                </c:pt>
                <c:pt idx="3">
                  <c:v>1602</c:v>
                </c:pt>
                <c:pt idx="4">
                  <c:v>1549</c:v>
                </c:pt>
                <c:pt idx="5">
                  <c:v>1460</c:v>
                </c:pt>
                <c:pt idx="6">
                  <c:v>1460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B8-4F7E-AD3F-1166BE18DF45}"/>
            </c:ext>
          </c:extLst>
        </c:ser>
        <c:ser>
          <c:idx val="2"/>
          <c:order val="3"/>
          <c:tx>
            <c:v>Adult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'1.29'!$A$13:$A$32</c15:sqref>
                  </c15:fullRef>
                </c:ext>
              </c:extLst>
              <c:f>'1.29'!$A$13:$A$19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'1.29'!$B$13:$B$32</c15:sqref>
                  </c15:fullRef>
                </c:ext>
              </c:extLst>
              <c:f>'1.29'!$B$13:$B$19</c:f>
              <c:numCache>
                <c:formatCode>General</c:formatCode>
                <c:ptCount val="7"/>
                <c:pt idx="0">
                  <c:v>1134</c:v>
                </c:pt>
                <c:pt idx="1">
                  <c:v>920</c:v>
                </c:pt>
                <c:pt idx="2">
                  <c:v>581</c:v>
                </c:pt>
                <c:pt idx="3">
                  <c:v>557</c:v>
                </c:pt>
                <c:pt idx="4">
                  <c:v>631</c:v>
                </c:pt>
                <c:pt idx="5">
                  <c:v>637</c:v>
                </c:pt>
                <c:pt idx="6">
                  <c:v>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B8-4F7E-AD3F-1166BE18D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23452447"/>
        <c:axId val="1423450527"/>
      </c:barChart>
      <c:catAx>
        <c:axId val="1423452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47573262389501125"/>
              <c:y val="0.94683651420339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450527"/>
        <c:crosses val="autoZero"/>
        <c:auto val="1"/>
        <c:lblAlgn val="ctr"/>
        <c:lblOffset val="100"/>
        <c:tickMarkSkip val="2"/>
        <c:noMultiLvlLbl val="0"/>
      </c:catAx>
      <c:valAx>
        <c:axId val="1423450527"/>
        <c:scaling>
          <c:orientation val="minMax"/>
          <c:max val="3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Population</a:t>
                </a:r>
                <a:r>
                  <a:rPr lang="en-US" baseline="0"/>
                  <a:t> count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452447"/>
        <c:crossesAt val="1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Postharvest</a:t>
            </a:r>
            <a:r>
              <a:rPr lang="en-US" baseline="0"/>
              <a:t> - Female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v>Birth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'1.29'!$A$13:$A$32</c15:sqref>
                  </c15:fullRef>
                </c:ext>
              </c:extLst>
              <c:f>'1.29'!$A$13:$A$19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'1.29'!$P$13:$P$32</c15:sqref>
                  </c15:fullRef>
                </c:ext>
              </c:extLst>
              <c:f>'1.29'!$P$13:$P$19</c:f>
              <c:numCache>
                <c:formatCode>General</c:formatCode>
                <c:ptCount val="7"/>
                <c:pt idx="0">
                  <c:v>3324</c:v>
                </c:pt>
                <c:pt idx="1">
                  <c:v>4014</c:v>
                </c:pt>
                <c:pt idx="2">
                  <c:v>3881</c:v>
                </c:pt>
                <c:pt idx="3">
                  <c:v>3658</c:v>
                </c:pt>
                <c:pt idx="4">
                  <c:v>3658</c:v>
                </c:pt>
                <c:pt idx="5">
                  <c:v>3616</c:v>
                </c:pt>
                <c:pt idx="6">
                  <c:v>3535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D7-4B09-88CA-3D2B976DCA20}"/>
            </c:ext>
          </c:extLst>
        </c:ser>
        <c:ser>
          <c:idx val="4"/>
          <c:order val="1"/>
          <c:tx>
            <c:v>Fawn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'1.29'!$A$13:$A$32</c15:sqref>
                  </c15:fullRef>
                </c:ext>
              </c:extLst>
              <c:f>'1.29'!$A$13:$A$19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'1.29'!$G$13:$G$32</c15:sqref>
                  </c15:fullRef>
                </c:ext>
              </c:extLst>
              <c:f>'1.29'!$G$13:$G$19</c:f>
              <c:numCache>
                <c:formatCode>General</c:formatCode>
                <c:ptCount val="7"/>
                <c:pt idx="0">
                  <c:v>2748</c:v>
                </c:pt>
                <c:pt idx="1">
                  <c:v>2268</c:v>
                </c:pt>
                <c:pt idx="2">
                  <c:v>2738</c:v>
                </c:pt>
                <c:pt idx="3">
                  <c:v>2648</c:v>
                </c:pt>
                <c:pt idx="4">
                  <c:v>2495</c:v>
                </c:pt>
                <c:pt idx="5">
                  <c:v>2495</c:v>
                </c:pt>
                <c:pt idx="6">
                  <c:v>2467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D7-4B09-88CA-3D2B976DCA20}"/>
            </c:ext>
          </c:extLst>
        </c:ser>
        <c:ser>
          <c:idx val="3"/>
          <c:order val="2"/>
          <c:tx>
            <c:v>Young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'1.29'!$A$13:$A$32</c15:sqref>
                  </c15:fullRef>
                </c:ext>
              </c:extLst>
              <c:f>'1.29'!$A$13:$A$19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'1.29'!$E$13:$E$32</c15:sqref>
                  </c15:fullRef>
                </c:ext>
              </c:extLst>
              <c:f>'1.29'!$E$13:$E$19</c:f>
              <c:numCache>
                <c:formatCode>General</c:formatCode>
                <c:ptCount val="7"/>
                <c:pt idx="0">
                  <c:v>3126</c:v>
                </c:pt>
                <c:pt idx="1">
                  <c:v>1937</c:v>
                </c:pt>
                <c:pt idx="2">
                  <c:v>1599</c:v>
                </c:pt>
                <c:pt idx="3">
                  <c:v>1930</c:v>
                </c:pt>
                <c:pt idx="4">
                  <c:v>1866</c:v>
                </c:pt>
                <c:pt idx="5">
                  <c:v>1759</c:v>
                </c:pt>
                <c:pt idx="6">
                  <c:v>1759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D7-4B09-88CA-3D2B976DCA20}"/>
            </c:ext>
          </c:extLst>
        </c:ser>
        <c:ser>
          <c:idx val="2"/>
          <c:order val="3"/>
          <c:tx>
            <c:v>Adult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'1.29'!$A$13:$A$32</c15:sqref>
                  </c15:fullRef>
                </c:ext>
              </c:extLst>
              <c:f>'1.29'!$A$13:$A$19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'1.29'!$C$13:$C$32</c15:sqref>
                  </c15:fullRef>
                </c:ext>
              </c:extLst>
              <c:f>'1.29'!$C$13:$C$19</c:f>
              <c:numCache>
                <c:formatCode>General</c:formatCode>
                <c:ptCount val="7"/>
                <c:pt idx="0">
                  <c:v>3968</c:v>
                </c:pt>
                <c:pt idx="1">
                  <c:v>5033</c:v>
                </c:pt>
                <c:pt idx="2">
                  <c:v>4903</c:v>
                </c:pt>
                <c:pt idx="3">
                  <c:v>4565</c:v>
                </c:pt>
                <c:pt idx="4">
                  <c:v>4574</c:v>
                </c:pt>
                <c:pt idx="5">
                  <c:v>4533</c:v>
                </c:pt>
                <c:pt idx="6">
                  <c:v>4426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D7-4B09-88CA-3D2B976DC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23452447"/>
        <c:axId val="1423450527"/>
      </c:barChart>
      <c:catAx>
        <c:axId val="1423452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47573262389501125"/>
              <c:y val="0.94683651420339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450527"/>
        <c:crosses val="autoZero"/>
        <c:auto val="1"/>
        <c:lblAlgn val="ctr"/>
        <c:lblOffset val="100"/>
        <c:tickMarkSkip val="2"/>
        <c:noMultiLvlLbl val="0"/>
      </c:catAx>
      <c:valAx>
        <c:axId val="1423450527"/>
        <c:scaling>
          <c:orientation val="minMax"/>
          <c:max val="3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Population</a:t>
                </a:r>
                <a:r>
                  <a:rPr lang="en-US" baseline="0"/>
                  <a:t> count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452447"/>
        <c:crossesAt val="1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Postharvest</a:t>
            </a:r>
            <a:r>
              <a:rPr lang="en-US" baseline="0"/>
              <a:t> - 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3"/>
          <c:order val="0"/>
          <c:tx>
            <c:v>Birth</c:v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'1.29'!$A$13:$A$32</c15:sqref>
                  </c15:fullRef>
                </c:ext>
              </c:extLst>
              <c:f>'1.29'!$A$13:$A$19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'1.29'!$Z$13:$Z$32</c15:sqref>
                  </c15:fullRef>
                </c:ext>
              </c:extLst>
              <c:f>'1.29'!$Z$13:$Z$19</c:f>
              <c:numCache>
                <c:formatCode>General</c:formatCode>
                <c:ptCount val="7"/>
                <c:pt idx="0">
                  <c:v>6648</c:v>
                </c:pt>
                <c:pt idx="1">
                  <c:v>8028</c:v>
                </c:pt>
                <c:pt idx="2">
                  <c:v>7762</c:v>
                </c:pt>
                <c:pt idx="3">
                  <c:v>7316</c:v>
                </c:pt>
                <c:pt idx="4">
                  <c:v>7316</c:v>
                </c:pt>
                <c:pt idx="5">
                  <c:v>7232</c:v>
                </c:pt>
                <c:pt idx="6">
                  <c:v>7070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63E-4181-80C8-AD842C9E7712}"/>
            </c:ext>
          </c:extLst>
        </c:ser>
        <c:ser>
          <c:idx val="2"/>
          <c:order val="1"/>
          <c:tx>
            <c:v>Fawn</c:v>
          </c:tx>
          <c:spPr>
            <a:solidFill>
              <a:srgbClr val="CC00CC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'1.29'!$A$13:$A$32</c15:sqref>
                  </c15:fullRef>
                </c:ext>
              </c:extLst>
              <c:f>'1.29'!$A$13:$A$19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'1.29'!$AA$13:$AA$32</c15:sqref>
                  </c15:fullRef>
                </c:ext>
              </c:extLst>
              <c:f>'1.29'!$AA$13:$AA$19</c:f>
              <c:numCache>
                <c:formatCode>General</c:formatCode>
                <c:ptCount val="7"/>
                <c:pt idx="0">
                  <c:v>4561</c:v>
                </c:pt>
                <c:pt idx="1">
                  <c:v>4512</c:v>
                </c:pt>
                <c:pt idx="2">
                  <c:v>5447</c:v>
                </c:pt>
                <c:pt idx="3">
                  <c:v>5268</c:v>
                </c:pt>
                <c:pt idx="4">
                  <c:v>4964</c:v>
                </c:pt>
                <c:pt idx="5">
                  <c:v>4964</c:v>
                </c:pt>
                <c:pt idx="6">
                  <c:v>4909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3E-4181-80C8-AD842C9E7712}"/>
            </c:ext>
          </c:extLst>
        </c:ser>
        <c:ser>
          <c:idx val="1"/>
          <c:order val="2"/>
          <c:tx>
            <c:v>Yearling</c:v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'1.29'!$A$13:$A$32</c15:sqref>
                  </c15:fullRef>
                </c:ext>
              </c:extLst>
              <c:f>'1.29'!$A$13:$A$19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'1.29'!$AB$13:$AB$32</c15:sqref>
                  </c15:fullRef>
                </c:ext>
              </c:extLst>
              <c:f>'1.29'!$AB$13:$AB$19</c:f>
              <c:numCache>
                <c:formatCode>General</c:formatCode>
                <c:ptCount val="7"/>
                <c:pt idx="0">
                  <c:v>5141</c:v>
                </c:pt>
                <c:pt idx="1">
                  <c:v>3009</c:v>
                </c:pt>
                <c:pt idx="2">
                  <c:v>2926</c:v>
                </c:pt>
                <c:pt idx="3">
                  <c:v>3532</c:v>
                </c:pt>
                <c:pt idx="4">
                  <c:v>3415</c:v>
                </c:pt>
                <c:pt idx="5">
                  <c:v>3219</c:v>
                </c:pt>
                <c:pt idx="6">
                  <c:v>3219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63E-4181-80C8-AD842C9E7712}"/>
            </c:ext>
          </c:extLst>
        </c:ser>
        <c:ser>
          <c:idx val="0"/>
          <c:order val="3"/>
          <c:tx>
            <c:v>Adult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'1.29'!$A$13:$A$32</c15:sqref>
                  </c15:fullRef>
                </c:ext>
              </c:extLst>
              <c:f>'1.29'!$A$13:$A$19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'1.29'!$AC$13:$AC$32</c15:sqref>
                  </c15:fullRef>
                </c:ext>
              </c:extLst>
              <c:f>'1.29'!$AC$13:$AC$19</c:f>
              <c:numCache>
                <c:formatCode>General</c:formatCode>
                <c:ptCount val="7"/>
                <c:pt idx="0">
                  <c:v>5102</c:v>
                </c:pt>
                <c:pt idx="1">
                  <c:v>5953</c:v>
                </c:pt>
                <c:pt idx="2">
                  <c:v>5484</c:v>
                </c:pt>
                <c:pt idx="3">
                  <c:v>5122</c:v>
                </c:pt>
                <c:pt idx="4">
                  <c:v>5205</c:v>
                </c:pt>
                <c:pt idx="5">
                  <c:v>5170</c:v>
                </c:pt>
                <c:pt idx="6">
                  <c:v>5038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3E-4181-80C8-AD842C9E7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23452447"/>
        <c:axId val="1423450527"/>
      </c:barChart>
      <c:catAx>
        <c:axId val="1423452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47573262389501125"/>
              <c:y val="0.94683651420339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450527"/>
        <c:crosses val="autoZero"/>
        <c:auto val="1"/>
        <c:lblAlgn val="ctr"/>
        <c:lblOffset val="100"/>
        <c:tickMarkSkip val="2"/>
        <c:noMultiLvlLbl val="0"/>
      </c:catAx>
      <c:valAx>
        <c:axId val="142345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Population</a:t>
                </a:r>
                <a:r>
                  <a:rPr lang="en-US" baseline="0"/>
                  <a:t> count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452447"/>
        <c:crossesAt val="1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1351148275137595"/>
          <c:y val="0.33335629921063287"/>
          <c:w val="7.8337135172165326E-2"/>
          <c:h val="0.285327260755968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Postharvest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'1.29 - APR'!$A$13:$A$32</c:f>
              <c:numCache>
                <c:formatCode>General</c:formatCode>
                <c:ptCount val="20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</c:numCache>
            </c:numRef>
          </c:xVal>
          <c:yVal>
            <c:numRef>
              <c:f>'1.29 - APR'!$H$13:$H$32</c:f>
              <c:numCache>
                <c:formatCode>General</c:formatCode>
                <c:ptCount val="20"/>
                <c:pt idx="0">
                  <c:v>14804</c:v>
                </c:pt>
                <c:pt idx="1">
                  <c:v>12109</c:v>
                </c:pt>
                <c:pt idx="2">
                  <c:v>10996</c:v>
                </c:pt>
                <c:pt idx="3">
                  <c:v>9755</c:v>
                </c:pt>
                <c:pt idx="4">
                  <c:v>8357</c:v>
                </c:pt>
                <c:pt idx="5">
                  <c:v>7219</c:v>
                </c:pt>
                <c:pt idx="6">
                  <c:v>6260</c:v>
                </c:pt>
                <c:pt idx="7">
                  <c:v>5401</c:v>
                </c:pt>
                <c:pt idx="8">
                  <c:v>4661</c:v>
                </c:pt>
                <c:pt idx="9">
                  <c:v>4027</c:v>
                </c:pt>
                <c:pt idx="10">
                  <c:v>3477</c:v>
                </c:pt>
                <c:pt idx="11">
                  <c:v>3004</c:v>
                </c:pt>
                <c:pt idx="12">
                  <c:v>2593</c:v>
                </c:pt>
                <c:pt idx="13">
                  <c:v>2239</c:v>
                </c:pt>
                <c:pt idx="14">
                  <c:v>1934</c:v>
                </c:pt>
                <c:pt idx="15">
                  <c:v>1668</c:v>
                </c:pt>
                <c:pt idx="16">
                  <c:v>1440</c:v>
                </c:pt>
                <c:pt idx="17">
                  <c:v>1244</c:v>
                </c:pt>
                <c:pt idx="18">
                  <c:v>1074</c:v>
                </c:pt>
                <c:pt idx="19">
                  <c:v>929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3C-41FC-B6AA-EEF54E97EF14}"/>
            </c:ext>
          </c:extLst>
        </c:ser>
        <c:ser>
          <c:idx val="1"/>
          <c:order val="1"/>
          <c:tx>
            <c:v>Preharvest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'1.29 - APR'!$A$13:$A$32</c:f>
              <c:numCache>
                <c:formatCode>General</c:formatCode>
                <c:ptCount val="20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</c:numCache>
            </c:numRef>
          </c:xVal>
          <c:yVal>
            <c:numRef>
              <c:f>'1.29 - APR'!$W$13:$W$32</c:f>
              <c:numCache>
                <c:formatCode>General</c:formatCode>
                <c:ptCount val="20"/>
                <c:pt idx="0">
                  <c:v>16017</c:v>
                </c:pt>
                <c:pt idx="1">
                  <c:v>13986</c:v>
                </c:pt>
                <c:pt idx="2">
                  <c:v>12301</c:v>
                </c:pt>
                <c:pt idx="3">
                  <c:v>10728</c:v>
                </c:pt>
                <c:pt idx="4">
                  <c:v>9298</c:v>
                </c:pt>
                <c:pt idx="5">
                  <c:v>8032</c:v>
                </c:pt>
                <c:pt idx="6">
                  <c:v>6938</c:v>
                </c:pt>
                <c:pt idx="7">
                  <c:v>5994</c:v>
                </c:pt>
                <c:pt idx="8">
                  <c:v>5174</c:v>
                </c:pt>
                <c:pt idx="9">
                  <c:v>4469</c:v>
                </c:pt>
                <c:pt idx="10">
                  <c:v>3860</c:v>
                </c:pt>
                <c:pt idx="11">
                  <c:v>3333</c:v>
                </c:pt>
                <c:pt idx="12">
                  <c:v>2877</c:v>
                </c:pt>
                <c:pt idx="13">
                  <c:v>2486</c:v>
                </c:pt>
                <c:pt idx="14">
                  <c:v>2146</c:v>
                </c:pt>
                <c:pt idx="15">
                  <c:v>1852</c:v>
                </c:pt>
                <c:pt idx="16">
                  <c:v>1599</c:v>
                </c:pt>
                <c:pt idx="17">
                  <c:v>1380</c:v>
                </c:pt>
                <c:pt idx="18">
                  <c:v>1194</c:v>
                </c:pt>
                <c:pt idx="19">
                  <c:v>1030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13C-41FC-B6AA-EEF54E97E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9634607"/>
        <c:axId val="1359635087"/>
      </c:scatterChart>
      <c:valAx>
        <c:axId val="1359634607"/>
        <c:scaling>
          <c:orientation val="minMax"/>
          <c:max val="2030"/>
          <c:min val="202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635087"/>
        <c:crosses val="autoZero"/>
        <c:crossBetween val="midCat"/>
        <c:majorUnit val="2"/>
      </c:valAx>
      <c:valAx>
        <c:axId val="13596350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Population</a:t>
                </a:r>
                <a:r>
                  <a:rPr lang="en-US" baseline="0"/>
                  <a:t> count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6346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Postharvest</a:t>
            </a:r>
            <a:r>
              <a:rPr lang="en-US" baseline="0"/>
              <a:t> - 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v>Birth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'1.29 - APR'!$A$13:$A$32</c15:sqref>
                  </c15:fullRef>
                </c:ext>
              </c:extLst>
              <c:f>'1.29 - APR'!$A$13:$A$19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'1.29 - APR'!$O$13:$O$32</c15:sqref>
                  </c15:fullRef>
                </c:ext>
              </c:extLst>
              <c:f>'1.29 - APR'!$O$13:$O$19</c:f>
              <c:numCache>
                <c:formatCode>General</c:formatCode>
                <c:ptCount val="7"/>
                <c:pt idx="0">
                  <c:v>2929</c:v>
                </c:pt>
                <c:pt idx="1">
                  <c:v>3150</c:v>
                </c:pt>
                <c:pt idx="2">
                  <c:v>2648</c:v>
                </c:pt>
                <c:pt idx="3">
                  <c:v>2173</c:v>
                </c:pt>
                <c:pt idx="4">
                  <c:v>1927</c:v>
                </c:pt>
                <c:pt idx="5">
                  <c:v>1674</c:v>
                </c:pt>
                <c:pt idx="6">
                  <c:v>1431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81-4F3D-A6CF-7EDA5C694D7D}"/>
            </c:ext>
          </c:extLst>
        </c:ser>
        <c:ser>
          <c:idx val="4"/>
          <c:order val="1"/>
          <c:tx>
            <c:v>Fawn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'1.29 - APR'!$A$13:$A$32</c15:sqref>
                  </c15:fullRef>
                </c:ext>
              </c:extLst>
              <c:f>'1.29 - APR'!$A$13:$A$19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'1.29 - APR'!$F$13:$F$32</c15:sqref>
                  </c15:fullRef>
                </c:ext>
              </c:extLst>
              <c:f>'1.29 - APR'!$F$13:$F$19</c:f>
              <c:numCache>
                <c:formatCode>General</c:formatCode>
                <c:ptCount val="7"/>
                <c:pt idx="0">
                  <c:v>1813</c:v>
                </c:pt>
                <c:pt idx="1">
                  <c:v>1977</c:v>
                </c:pt>
                <c:pt idx="2">
                  <c:v>2126</c:v>
                </c:pt>
                <c:pt idx="3">
                  <c:v>1788</c:v>
                </c:pt>
                <c:pt idx="4">
                  <c:v>1467</c:v>
                </c:pt>
                <c:pt idx="5">
                  <c:v>1301</c:v>
                </c:pt>
                <c:pt idx="6">
                  <c:v>1131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81-4F3D-A6CF-7EDA5C694D7D}"/>
            </c:ext>
          </c:extLst>
        </c:ser>
        <c:ser>
          <c:idx val="3"/>
          <c:order val="2"/>
          <c:tx>
            <c:v>Young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'1.29 - APR'!$A$13:$A$32</c15:sqref>
                  </c15:fullRef>
                </c:ext>
              </c:extLst>
              <c:f>'1.29 - APR'!$A$13:$A$19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'1.29 - APR'!$D$13:$D$32</c15:sqref>
                  </c15:fullRef>
                </c:ext>
              </c:extLst>
              <c:f>'1.29 - APR'!$D$13:$D$19</c:f>
              <c:numCache>
                <c:formatCode>General</c:formatCode>
                <c:ptCount val="7"/>
                <c:pt idx="0">
                  <c:v>2015</c:v>
                </c:pt>
                <c:pt idx="1">
                  <c:v>1072</c:v>
                </c:pt>
                <c:pt idx="2">
                  <c:v>1169</c:v>
                </c:pt>
                <c:pt idx="3">
                  <c:v>1257</c:v>
                </c:pt>
                <c:pt idx="4">
                  <c:v>1057</c:v>
                </c:pt>
                <c:pt idx="5">
                  <c:v>868</c:v>
                </c:pt>
                <c:pt idx="6">
                  <c:v>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81-4F3D-A6CF-7EDA5C694D7D}"/>
            </c:ext>
          </c:extLst>
        </c:ser>
        <c:ser>
          <c:idx val="2"/>
          <c:order val="3"/>
          <c:tx>
            <c:v>Adult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'1.29 - APR'!$A$13:$A$32</c15:sqref>
                  </c15:fullRef>
                </c:ext>
              </c:extLst>
              <c:f>'1.29 - APR'!$A$13:$A$19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'1.29 - APR'!$B$13:$B$32</c15:sqref>
                  </c15:fullRef>
                </c:ext>
              </c:extLst>
              <c:f>'1.29 - APR'!$B$13:$B$19</c:f>
              <c:numCache>
                <c:formatCode>General</c:formatCode>
                <c:ptCount val="7"/>
                <c:pt idx="0">
                  <c:v>1134</c:v>
                </c:pt>
                <c:pt idx="1">
                  <c:v>920</c:v>
                </c:pt>
                <c:pt idx="2">
                  <c:v>581</c:v>
                </c:pt>
                <c:pt idx="3">
                  <c:v>511</c:v>
                </c:pt>
                <c:pt idx="4">
                  <c:v>516</c:v>
                </c:pt>
                <c:pt idx="5">
                  <c:v>459</c:v>
                </c:pt>
                <c:pt idx="6">
                  <c:v>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81-4F3D-A6CF-7EDA5C694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23452447"/>
        <c:axId val="1423450527"/>
      </c:barChart>
      <c:catAx>
        <c:axId val="1423452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47573262389501125"/>
              <c:y val="0.94683651420339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450527"/>
        <c:crosses val="autoZero"/>
        <c:auto val="1"/>
        <c:lblAlgn val="ctr"/>
        <c:lblOffset val="100"/>
        <c:tickMarkSkip val="2"/>
        <c:noMultiLvlLbl val="0"/>
      </c:catAx>
      <c:valAx>
        <c:axId val="1423450527"/>
        <c:scaling>
          <c:orientation val="minMax"/>
          <c:max val="3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Population</a:t>
                </a:r>
                <a:r>
                  <a:rPr lang="en-US" baseline="0"/>
                  <a:t> count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452447"/>
        <c:crossesAt val="1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Postharvest</a:t>
            </a:r>
            <a:r>
              <a:rPr lang="en-US" baseline="0"/>
              <a:t> - Female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v>Birth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'1.29 - APR'!$A$13:$A$32</c15:sqref>
                  </c15:fullRef>
                </c:ext>
              </c:extLst>
              <c:f>'1.29 - APR'!$A$13:$A$19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'1.29 - APR'!$P$13:$P$32</c15:sqref>
                  </c15:fullRef>
                </c:ext>
              </c:extLst>
              <c:f>'1.29 - APR'!$P$13:$P$19</c:f>
              <c:numCache>
                <c:formatCode>General</c:formatCode>
                <c:ptCount val="7"/>
                <c:pt idx="0">
                  <c:v>2929</c:v>
                </c:pt>
                <c:pt idx="1">
                  <c:v>3150</c:v>
                </c:pt>
                <c:pt idx="2">
                  <c:v>2648</c:v>
                </c:pt>
                <c:pt idx="3">
                  <c:v>2173</c:v>
                </c:pt>
                <c:pt idx="4">
                  <c:v>1927</c:v>
                </c:pt>
                <c:pt idx="5">
                  <c:v>1674</c:v>
                </c:pt>
                <c:pt idx="6">
                  <c:v>1431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10-4617-A60B-191ABB17F4D2}"/>
            </c:ext>
          </c:extLst>
        </c:ser>
        <c:ser>
          <c:idx val="4"/>
          <c:order val="1"/>
          <c:tx>
            <c:v>Fawn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'1.29 - APR'!$A$13:$A$32</c15:sqref>
                  </c15:fullRef>
                </c:ext>
              </c:extLst>
              <c:f>'1.29 - APR'!$A$13:$A$19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'1.29 - APR'!$G$13:$G$32</c15:sqref>
                  </c15:fullRef>
                </c:ext>
              </c:extLst>
              <c:f>'1.29 - APR'!$G$13:$G$19</c:f>
              <c:numCache>
                <c:formatCode>General</c:formatCode>
                <c:ptCount val="7"/>
                <c:pt idx="0">
                  <c:v>2748</c:v>
                </c:pt>
                <c:pt idx="1">
                  <c:v>1998</c:v>
                </c:pt>
                <c:pt idx="2">
                  <c:v>2148</c:v>
                </c:pt>
                <c:pt idx="3">
                  <c:v>1807</c:v>
                </c:pt>
                <c:pt idx="4">
                  <c:v>1482</c:v>
                </c:pt>
                <c:pt idx="5">
                  <c:v>1314</c:v>
                </c:pt>
                <c:pt idx="6">
                  <c:v>1142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10-4617-A60B-191ABB17F4D2}"/>
            </c:ext>
          </c:extLst>
        </c:ser>
        <c:ser>
          <c:idx val="3"/>
          <c:order val="2"/>
          <c:tx>
            <c:v>Young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'1.29 - APR'!$A$13:$A$32</c15:sqref>
                  </c15:fullRef>
                </c:ext>
              </c:extLst>
              <c:f>'1.29 - APR'!$A$13:$A$19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'1.29 - APR'!$E$13:$E$32</c15:sqref>
                  </c15:fullRef>
                </c:ext>
              </c:extLst>
              <c:f>'1.29 - APR'!$E$13:$E$19</c:f>
              <c:numCache>
                <c:formatCode>General</c:formatCode>
                <c:ptCount val="7"/>
                <c:pt idx="0">
                  <c:v>3435</c:v>
                </c:pt>
                <c:pt idx="1">
                  <c:v>1962</c:v>
                </c:pt>
                <c:pt idx="2">
                  <c:v>1427</c:v>
                </c:pt>
                <c:pt idx="3">
                  <c:v>1534</c:v>
                </c:pt>
                <c:pt idx="4">
                  <c:v>1290</c:v>
                </c:pt>
                <c:pt idx="5">
                  <c:v>1058</c:v>
                </c:pt>
                <c:pt idx="6">
                  <c:v>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10-4617-A60B-191ABB17F4D2}"/>
            </c:ext>
          </c:extLst>
        </c:ser>
        <c:ser>
          <c:idx val="2"/>
          <c:order val="3"/>
          <c:tx>
            <c:v>Adult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'1.29 - APR'!$A$13:$A$32</c15:sqref>
                  </c15:fullRef>
                </c:ext>
              </c:extLst>
              <c:f>'1.29 - APR'!$A$13:$A$19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'1.29 - APR'!$C$13:$C$32</c15:sqref>
                  </c15:fullRef>
                </c:ext>
              </c:extLst>
              <c:f>'1.29 - APR'!$C$13:$C$19</c:f>
              <c:numCache>
                <c:formatCode>General</c:formatCode>
                <c:ptCount val="7"/>
                <c:pt idx="0">
                  <c:v>3659</c:v>
                </c:pt>
                <c:pt idx="1">
                  <c:v>4180</c:v>
                </c:pt>
                <c:pt idx="2">
                  <c:v>3545</c:v>
                </c:pt>
                <c:pt idx="3">
                  <c:v>2858</c:v>
                </c:pt>
                <c:pt idx="4">
                  <c:v>2545</c:v>
                </c:pt>
                <c:pt idx="5">
                  <c:v>2219</c:v>
                </c:pt>
                <c:pt idx="6">
                  <c:v>1892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10-4617-A60B-191ABB17F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23452447"/>
        <c:axId val="1423450527"/>
      </c:barChart>
      <c:catAx>
        <c:axId val="1423452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47573262389501125"/>
              <c:y val="0.94683651420339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450527"/>
        <c:crosses val="autoZero"/>
        <c:auto val="1"/>
        <c:lblAlgn val="ctr"/>
        <c:lblOffset val="100"/>
        <c:tickMarkSkip val="2"/>
        <c:noMultiLvlLbl val="0"/>
      </c:catAx>
      <c:valAx>
        <c:axId val="1423450527"/>
        <c:scaling>
          <c:orientation val="minMax"/>
          <c:max val="3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Population</a:t>
                </a:r>
                <a:r>
                  <a:rPr lang="en-US" baseline="0"/>
                  <a:t> count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452447"/>
        <c:crossesAt val="1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Postharvest</a:t>
            </a:r>
            <a:r>
              <a:rPr lang="en-US" baseline="0"/>
              <a:t> - 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3"/>
          <c:order val="0"/>
          <c:tx>
            <c:v>Birth</c:v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'1.29 - APR'!$A$13:$A$32</c15:sqref>
                  </c15:fullRef>
                </c:ext>
              </c:extLst>
              <c:f>'1.29 - APR'!$A$13:$A$19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'1.29 - APR'!$Z$13:$Z$32</c15:sqref>
                  </c15:fullRef>
                </c:ext>
              </c:extLst>
              <c:f>'1.29 - APR'!$Z$13:$Z$19</c:f>
              <c:numCache>
                <c:formatCode>General</c:formatCode>
                <c:ptCount val="7"/>
                <c:pt idx="0">
                  <c:v>5858</c:v>
                </c:pt>
                <c:pt idx="1">
                  <c:v>6300</c:v>
                </c:pt>
                <c:pt idx="2">
                  <c:v>5296</c:v>
                </c:pt>
                <c:pt idx="3">
                  <c:v>4346</c:v>
                </c:pt>
                <c:pt idx="4">
                  <c:v>3854</c:v>
                </c:pt>
                <c:pt idx="5">
                  <c:v>3348</c:v>
                </c:pt>
                <c:pt idx="6">
                  <c:v>2862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62-4F02-AA27-9B0664EC442D}"/>
            </c:ext>
          </c:extLst>
        </c:ser>
        <c:ser>
          <c:idx val="2"/>
          <c:order val="1"/>
          <c:tx>
            <c:v>Fawn</c:v>
          </c:tx>
          <c:spPr>
            <a:solidFill>
              <a:srgbClr val="CC00CC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'1.29 - APR'!$A$13:$A$32</c15:sqref>
                  </c15:fullRef>
                </c:ext>
              </c:extLst>
              <c:f>'1.29 - APR'!$A$13:$A$19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'1.29 - APR'!$AA$13:$AA$32</c15:sqref>
                  </c15:fullRef>
                </c:ext>
              </c:extLst>
              <c:f>'1.29 - APR'!$AA$13:$AA$19</c:f>
              <c:numCache>
                <c:formatCode>General</c:formatCode>
                <c:ptCount val="7"/>
                <c:pt idx="0">
                  <c:v>4561</c:v>
                </c:pt>
                <c:pt idx="1">
                  <c:v>3975</c:v>
                </c:pt>
                <c:pt idx="2">
                  <c:v>4274</c:v>
                </c:pt>
                <c:pt idx="3">
                  <c:v>3595</c:v>
                </c:pt>
                <c:pt idx="4">
                  <c:v>2949</c:v>
                </c:pt>
                <c:pt idx="5">
                  <c:v>2615</c:v>
                </c:pt>
                <c:pt idx="6">
                  <c:v>2273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62-4F02-AA27-9B0664EC442D}"/>
            </c:ext>
          </c:extLst>
        </c:ser>
        <c:ser>
          <c:idx val="1"/>
          <c:order val="2"/>
          <c:tx>
            <c:v>Yearling</c:v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'1.29 - APR'!$A$13:$A$32</c15:sqref>
                  </c15:fullRef>
                </c:ext>
              </c:extLst>
              <c:f>'1.29 - APR'!$A$13:$A$19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'1.29 - APR'!$AB$13:$AB$32</c15:sqref>
                  </c15:fullRef>
                </c:ext>
              </c:extLst>
              <c:f>'1.29 - APR'!$AB$13:$AB$19</c:f>
              <c:numCache>
                <c:formatCode>General</c:formatCode>
                <c:ptCount val="7"/>
                <c:pt idx="0">
                  <c:v>5450</c:v>
                </c:pt>
                <c:pt idx="1">
                  <c:v>3034</c:v>
                </c:pt>
                <c:pt idx="2">
                  <c:v>2596</c:v>
                </c:pt>
                <c:pt idx="3">
                  <c:v>2791</c:v>
                </c:pt>
                <c:pt idx="4">
                  <c:v>2347</c:v>
                </c:pt>
                <c:pt idx="5">
                  <c:v>1926</c:v>
                </c:pt>
                <c:pt idx="6">
                  <c:v>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62-4F02-AA27-9B0664EC442D}"/>
            </c:ext>
          </c:extLst>
        </c:ser>
        <c:ser>
          <c:idx val="0"/>
          <c:order val="3"/>
          <c:tx>
            <c:v>Adult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'1.29 - APR'!$A$13:$A$32</c15:sqref>
                  </c15:fullRef>
                </c:ext>
              </c:extLst>
              <c:f>'1.29 - APR'!$A$13:$A$19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'1.29 - APR'!$AC$13:$AC$32</c15:sqref>
                  </c15:fullRef>
                </c:ext>
              </c:extLst>
              <c:f>'1.29 - APR'!$AC$13:$AC$19</c:f>
              <c:numCache>
                <c:formatCode>General</c:formatCode>
                <c:ptCount val="7"/>
                <c:pt idx="0">
                  <c:v>4793</c:v>
                </c:pt>
                <c:pt idx="1">
                  <c:v>5100</c:v>
                </c:pt>
                <c:pt idx="2">
                  <c:v>4126</c:v>
                </c:pt>
                <c:pt idx="3">
                  <c:v>3369</c:v>
                </c:pt>
                <c:pt idx="4">
                  <c:v>3061</c:v>
                </c:pt>
                <c:pt idx="5">
                  <c:v>2678</c:v>
                </c:pt>
                <c:pt idx="6">
                  <c:v>2280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62-4F02-AA27-9B0664EC4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23452447"/>
        <c:axId val="1423450527"/>
      </c:barChart>
      <c:catAx>
        <c:axId val="1423452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47573262389501125"/>
              <c:y val="0.94683651420339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450527"/>
        <c:crosses val="autoZero"/>
        <c:auto val="1"/>
        <c:lblAlgn val="ctr"/>
        <c:lblOffset val="100"/>
        <c:tickMarkSkip val="2"/>
        <c:noMultiLvlLbl val="0"/>
      </c:catAx>
      <c:valAx>
        <c:axId val="142345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Population</a:t>
                </a:r>
                <a:r>
                  <a:rPr lang="en-US" baseline="0"/>
                  <a:t> count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452447"/>
        <c:crossesAt val="1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1351148275137595"/>
          <c:y val="0.33335629921063287"/>
          <c:w val="7.8337135172165326E-2"/>
          <c:h val="0.285327260755968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Postharvest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'1.29 - 2003'!$A$13:$A$32</c:f>
              <c:numCache>
                <c:formatCode>General</c:formatCode>
                <c:ptCount val="20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</c:numCache>
            </c:numRef>
          </c:xVal>
          <c:yVal>
            <c:numRef>
              <c:f>'1.29 - 2003'!$H$13:$H$32</c:f>
              <c:numCache>
                <c:formatCode>General</c:formatCode>
                <c:ptCount val="20"/>
                <c:pt idx="0">
                  <c:v>16721</c:v>
                </c:pt>
                <c:pt idx="1">
                  <c:v>12804</c:v>
                </c:pt>
                <c:pt idx="2">
                  <c:v>10781</c:v>
                </c:pt>
                <c:pt idx="3">
                  <c:v>8893</c:v>
                </c:pt>
                <c:pt idx="4">
                  <c:v>7093</c:v>
                </c:pt>
                <c:pt idx="5">
                  <c:v>5694</c:v>
                </c:pt>
                <c:pt idx="6">
                  <c:v>4585</c:v>
                </c:pt>
                <c:pt idx="7">
                  <c:v>3674</c:v>
                </c:pt>
                <c:pt idx="8">
                  <c:v>2944</c:v>
                </c:pt>
                <c:pt idx="9">
                  <c:v>2362</c:v>
                </c:pt>
                <c:pt idx="10">
                  <c:v>1895</c:v>
                </c:pt>
                <c:pt idx="11">
                  <c:v>1521</c:v>
                </c:pt>
                <c:pt idx="12">
                  <c:v>1221</c:v>
                </c:pt>
                <c:pt idx="13">
                  <c:v>981</c:v>
                </c:pt>
                <c:pt idx="14">
                  <c:v>784</c:v>
                </c:pt>
                <c:pt idx="15">
                  <c:v>629</c:v>
                </c:pt>
                <c:pt idx="16">
                  <c:v>505</c:v>
                </c:pt>
                <c:pt idx="17">
                  <c:v>403</c:v>
                </c:pt>
                <c:pt idx="18">
                  <c:v>323</c:v>
                </c:pt>
                <c:pt idx="19">
                  <c:v>259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27-423C-BD55-2E36A348038E}"/>
            </c:ext>
          </c:extLst>
        </c:ser>
        <c:ser>
          <c:idx val="1"/>
          <c:order val="1"/>
          <c:tx>
            <c:v>Preharvest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'1.29 - 2003'!$A$13:$A$32</c:f>
              <c:numCache>
                <c:formatCode>General</c:formatCode>
                <c:ptCount val="20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</c:numCache>
            </c:numRef>
          </c:xVal>
          <c:yVal>
            <c:numRef>
              <c:f>'1.29 - 2003'!$W$13:$W$32</c:f>
              <c:numCache>
                <c:formatCode>General</c:formatCode>
                <c:ptCount val="20"/>
                <c:pt idx="0">
                  <c:v>17947</c:v>
                </c:pt>
                <c:pt idx="1">
                  <c:v>14541</c:v>
                </c:pt>
                <c:pt idx="2">
                  <c:v>11916</c:v>
                </c:pt>
                <c:pt idx="3">
                  <c:v>9667</c:v>
                </c:pt>
                <c:pt idx="4">
                  <c:v>7789</c:v>
                </c:pt>
                <c:pt idx="5">
                  <c:v>6252</c:v>
                </c:pt>
                <c:pt idx="6">
                  <c:v>5015</c:v>
                </c:pt>
                <c:pt idx="7">
                  <c:v>4025</c:v>
                </c:pt>
                <c:pt idx="8">
                  <c:v>3226</c:v>
                </c:pt>
                <c:pt idx="9">
                  <c:v>2587</c:v>
                </c:pt>
                <c:pt idx="10">
                  <c:v>2077</c:v>
                </c:pt>
                <c:pt idx="11">
                  <c:v>1668</c:v>
                </c:pt>
                <c:pt idx="12">
                  <c:v>1340</c:v>
                </c:pt>
                <c:pt idx="13">
                  <c:v>1073</c:v>
                </c:pt>
                <c:pt idx="14">
                  <c:v>860</c:v>
                </c:pt>
                <c:pt idx="15">
                  <c:v>690</c:v>
                </c:pt>
                <c:pt idx="16">
                  <c:v>552</c:v>
                </c:pt>
                <c:pt idx="17">
                  <c:v>441</c:v>
                </c:pt>
                <c:pt idx="18">
                  <c:v>354</c:v>
                </c:pt>
                <c:pt idx="19">
                  <c:v>285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327-423C-BD55-2E36A3480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9634607"/>
        <c:axId val="1359635087"/>
      </c:scatterChart>
      <c:valAx>
        <c:axId val="1359634607"/>
        <c:scaling>
          <c:orientation val="minMax"/>
          <c:max val="2024"/>
          <c:min val="200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635087"/>
        <c:crosses val="autoZero"/>
        <c:crossBetween val="midCat"/>
        <c:majorUnit val="2"/>
      </c:valAx>
      <c:valAx>
        <c:axId val="13596350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Population</a:t>
                </a:r>
                <a:r>
                  <a:rPr lang="en-US" baseline="0"/>
                  <a:t> count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6346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Postharvest</a:t>
            </a:r>
            <a:r>
              <a:rPr lang="en-US" baseline="0"/>
              <a:t> - 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v>Birth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'1.29 - 2003'!$A$13:$A$32</c15:sqref>
                  </c15:fullRef>
                </c:ext>
              </c:extLst>
              <c:f>'1.29 - 2003'!$A$13:$A$19</c:f>
              <c:numCache>
                <c:formatCode>General</c:formatCode>
                <c:ptCount val="7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'1.29 - 2003'!$O$13:$O$32</c15:sqref>
                  </c15:fullRef>
                </c:ext>
              </c:extLst>
              <c:f>'1.29 - 2003'!$O$13:$O$19</c:f>
              <c:numCache>
                <c:formatCode>General</c:formatCode>
                <c:ptCount val="7"/>
                <c:pt idx="0">
                  <c:v>3224</c:v>
                </c:pt>
                <c:pt idx="1">
                  <c:v>3146</c:v>
                </c:pt>
                <c:pt idx="2">
                  <c:v>2481</c:v>
                </c:pt>
                <c:pt idx="3">
                  <c:v>1896</c:v>
                </c:pt>
                <c:pt idx="4">
                  <c:v>1556</c:v>
                </c:pt>
                <c:pt idx="5">
                  <c:v>1256</c:v>
                </c:pt>
                <c:pt idx="6">
                  <c:v>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4-4B5D-BEC5-ED74F97DAD77}"/>
            </c:ext>
          </c:extLst>
        </c:ser>
        <c:ser>
          <c:idx val="4"/>
          <c:order val="1"/>
          <c:tx>
            <c:v>Fawn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'1.29 - 2003'!$A$13:$A$32</c15:sqref>
                  </c15:fullRef>
                </c:ext>
              </c:extLst>
              <c:f>'1.29 - 2003'!$A$13:$A$19</c:f>
              <c:numCache>
                <c:formatCode>General</c:formatCode>
                <c:ptCount val="7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'1.29 - 2003'!$F$13:$F$32</c15:sqref>
                  </c15:fullRef>
                </c:ext>
              </c:extLst>
              <c:f>'1.29 - 2003'!$F$13:$F$19</c:f>
              <c:numCache>
                <c:formatCode>General</c:formatCode>
                <c:ptCount val="7"/>
                <c:pt idx="0">
                  <c:v>2095</c:v>
                </c:pt>
                <c:pt idx="1">
                  <c:v>2108</c:v>
                </c:pt>
                <c:pt idx="2">
                  <c:v>2057</c:v>
                </c:pt>
                <c:pt idx="3">
                  <c:v>1622</c:v>
                </c:pt>
                <c:pt idx="4">
                  <c:v>1239</c:v>
                </c:pt>
                <c:pt idx="5">
                  <c:v>1018</c:v>
                </c:pt>
                <c:pt idx="6">
                  <c:v>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B4-4B5D-BEC5-ED74F97DAD77}"/>
            </c:ext>
          </c:extLst>
        </c:ser>
        <c:ser>
          <c:idx val="3"/>
          <c:order val="2"/>
          <c:tx>
            <c:v>Young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'1.29 - 2003'!$A$13:$A$32</c15:sqref>
                  </c15:fullRef>
                </c:ext>
              </c:extLst>
              <c:f>'1.29 - 2003'!$A$13:$A$19</c:f>
              <c:numCache>
                <c:formatCode>General</c:formatCode>
                <c:ptCount val="7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'1.29 - 2003'!$D$13:$D$32</c15:sqref>
                  </c15:fullRef>
                </c:ext>
              </c:extLst>
              <c:f>'1.29 - 2003'!$D$13:$D$19</c:f>
              <c:numCache>
                <c:formatCode>General</c:formatCode>
                <c:ptCount val="7"/>
                <c:pt idx="0">
                  <c:v>2404</c:v>
                </c:pt>
                <c:pt idx="1">
                  <c:v>1238</c:v>
                </c:pt>
                <c:pt idx="2">
                  <c:v>1246</c:v>
                </c:pt>
                <c:pt idx="3">
                  <c:v>1216</c:v>
                </c:pt>
                <c:pt idx="4">
                  <c:v>958</c:v>
                </c:pt>
                <c:pt idx="5">
                  <c:v>733</c:v>
                </c:pt>
                <c:pt idx="6">
                  <c:v>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B4-4B5D-BEC5-ED74F97DAD77}"/>
            </c:ext>
          </c:extLst>
        </c:ser>
        <c:ser>
          <c:idx val="2"/>
          <c:order val="3"/>
          <c:tx>
            <c:v>Adult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'1.29 - 2003'!$A$13:$A$32</c15:sqref>
                  </c15:fullRef>
                </c:ext>
              </c:extLst>
              <c:f>'1.29 - 2003'!$A$13:$A$19</c:f>
              <c:numCache>
                <c:formatCode>General</c:formatCode>
                <c:ptCount val="7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'1.29 - 2003'!$B$13:$B$32</c15:sqref>
                  </c15:fullRef>
                </c:ext>
              </c:extLst>
              <c:f>'1.29 - 2003'!$B$13:$B$19</c:f>
              <c:numCache>
                <c:formatCode>General</c:formatCode>
                <c:ptCount val="7"/>
                <c:pt idx="0">
                  <c:v>1353</c:v>
                </c:pt>
                <c:pt idx="1">
                  <c:v>1098</c:v>
                </c:pt>
                <c:pt idx="2">
                  <c:v>682</c:v>
                </c:pt>
                <c:pt idx="3">
                  <c:v>563</c:v>
                </c:pt>
                <c:pt idx="4">
                  <c:v>520</c:v>
                </c:pt>
                <c:pt idx="5">
                  <c:v>432</c:v>
                </c:pt>
                <c:pt idx="6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B4-4B5D-BEC5-ED74F97DA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23452447"/>
        <c:axId val="1423450527"/>
      </c:barChart>
      <c:catAx>
        <c:axId val="1423452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47573262389501125"/>
              <c:y val="0.94683651420339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450527"/>
        <c:crosses val="autoZero"/>
        <c:auto val="1"/>
        <c:lblAlgn val="ctr"/>
        <c:lblOffset val="100"/>
        <c:tickMarkSkip val="2"/>
        <c:noMultiLvlLbl val="0"/>
      </c:catAx>
      <c:valAx>
        <c:axId val="1423450527"/>
        <c:scaling>
          <c:orientation val="minMax"/>
          <c:max val="3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Population</a:t>
                </a:r>
                <a:r>
                  <a:rPr lang="en-US" baseline="0"/>
                  <a:t> count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452447"/>
        <c:crossesAt val="1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Postharvest</a:t>
            </a:r>
            <a:r>
              <a:rPr lang="en-US" baseline="0"/>
              <a:t> - Female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v>Birth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'1.29 - 2003'!$A$13:$A$32</c15:sqref>
                  </c15:fullRef>
                </c:ext>
              </c:extLst>
              <c:f>'1.29 - 2003'!$A$13:$A$19</c:f>
              <c:numCache>
                <c:formatCode>General</c:formatCode>
                <c:ptCount val="7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'1.29 - 2003'!$P$13:$P$32</c15:sqref>
                  </c15:fullRef>
                </c:ext>
              </c:extLst>
              <c:f>'1.29 - 2003'!$P$13:$P$19</c:f>
              <c:numCache>
                <c:formatCode>General</c:formatCode>
                <c:ptCount val="7"/>
                <c:pt idx="0">
                  <c:v>3224</c:v>
                </c:pt>
                <c:pt idx="1">
                  <c:v>3146</c:v>
                </c:pt>
                <c:pt idx="2">
                  <c:v>2481</c:v>
                </c:pt>
                <c:pt idx="3">
                  <c:v>1896</c:v>
                </c:pt>
                <c:pt idx="4">
                  <c:v>1556</c:v>
                </c:pt>
                <c:pt idx="5">
                  <c:v>1256</c:v>
                </c:pt>
                <c:pt idx="6">
                  <c:v>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1F-4262-9394-427F1A3EF1D8}"/>
            </c:ext>
          </c:extLst>
        </c:ser>
        <c:ser>
          <c:idx val="4"/>
          <c:order val="1"/>
          <c:tx>
            <c:v>Fawn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'1.29 - 2003'!$A$13:$A$32</c15:sqref>
                  </c15:fullRef>
                </c:ext>
              </c:extLst>
              <c:f>'1.29 - 2003'!$A$13:$A$19</c:f>
              <c:numCache>
                <c:formatCode>General</c:formatCode>
                <c:ptCount val="7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'1.29 - 2003'!$G$13:$G$32</c15:sqref>
                  </c15:fullRef>
                </c:ext>
              </c:extLst>
              <c:f>'1.29 - 2003'!$G$13:$G$19</c:f>
              <c:numCache>
                <c:formatCode>General</c:formatCode>
                <c:ptCount val="7"/>
                <c:pt idx="0">
                  <c:v>3245</c:v>
                </c:pt>
                <c:pt idx="1">
                  <c:v>2176</c:v>
                </c:pt>
                <c:pt idx="2">
                  <c:v>2124</c:v>
                </c:pt>
                <c:pt idx="3">
                  <c:v>1675</c:v>
                </c:pt>
                <c:pt idx="4">
                  <c:v>1280</c:v>
                </c:pt>
                <c:pt idx="5">
                  <c:v>1051</c:v>
                </c:pt>
                <c:pt idx="6">
                  <c:v>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1F-4262-9394-427F1A3EF1D8}"/>
            </c:ext>
          </c:extLst>
        </c:ser>
        <c:ser>
          <c:idx val="3"/>
          <c:order val="2"/>
          <c:tx>
            <c:v>Young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'1.29 - 2003'!$A$13:$A$32</c15:sqref>
                  </c15:fullRef>
                </c:ext>
              </c:extLst>
              <c:f>'1.29 - 2003'!$A$13:$A$19</c:f>
              <c:numCache>
                <c:formatCode>General</c:formatCode>
                <c:ptCount val="7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'1.29 - 2003'!$E$13:$E$32</c15:sqref>
                  </c15:fullRef>
                </c:ext>
              </c:extLst>
              <c:f>'1.29 - 2003'!$E$13:$E$19</c:f>
              <c:numCache>
                <c:formatCode>General</c:formatCode>
                <c:ptCount val="7"/>
                <c:pt idx="0">
                  <c:v>3566</c:v>
                </c:pt>
                <c:pt idx="1">
                  <c:v>2016</c:v>
                </c:pt>
                <c:pt idx="2">
                  <c:v>1352</c:v>
                </c:pt>
                <c:pt idx="3">
                  <c:v>1320</c:v>
                </c:pt>
                <c:pt idx="4">
                  <c:v>1041</c:v>
                </c:pt>
                <c:pt idx="5">
                  <c:v>795</c:v>
                </c:pt>
                <c:pt idx="6">
                  <c:v>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1F-4262-9394-427F1A3EF1D8}"/>
            </c:ext>
          </c:extLst>
        </c:ser>
        <c:ser>
          <c:idx val="2"/>
          <c:order val="3"/>
          <c:tx>
            <c:v>Adult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'1.29 - 2003'!$A$13:$A$32</c15:sqref>
                  </c15:fullRef>
                </c:ext>
              </c:extLst>
              <c:f>'1.29 - 2003'!$A$13:$A$19</c:f>
              <c:numCache>
                <c:formatCode>General</c:formatCode>
                <c:ptCount val="7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'1.29 - 2003'!$C$13:$C$32</c15:sqref>
                  </c15:fullRef>
                </c:ext>
              </c:extLst>
              <c:f>'1.29 - 2003'!$C$13:$C$19</c:f>
              <c:numCache>
                <c:formatCode>General</c:formatCode>
                <c:ptCount val="7"/>
                <c:pt idx="0">
                  <c:v>4058</c:v>
                </c:pt>
                <c:pt idx="1">
                  <c:v>4168</c:v>
                </c:pt>
                <c:pt idx="2">
                  <c:v>3320</c:v>
                </c:pt>
                <c:pt idx="3">
                  <c:v>2497</c:v>
                </c:pt>
                <c:pt idx="4">
                  <c:v>2055</c:v>
                </c:pt>
                <c:pt idx="5">
                  <c:v>1665</c:v>
                </c:pt>
                <c:pt idx="6">
                  <c:v>1320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1F-4262-9394-427F1A3EF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23452447"/>
        <c:axId val="1423450527"/>
      </c:barChart>
      <c:catAx>
        <c:axId val="1423452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47573262389501125"/>
              <c:y val="0.94683651420339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450527"/>
        <c:crosses val="autoZero"/>
        <c:auto val="1"/>
        <c:lblAlgn val="ctr"/>
        <c:lblOffset val="100"/>
        <c:tickMarkSkip val="2"/>
        <c:noMultiLvlLbl val="0"/>
      </c:catAx>
      <c:valAx>
        <c:axId val="1423450527"/>
        <c:scaling>
          <c:orientation val="minMax"/>
          <c:max val="3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Population</a:t>
                </a:r>
                <a:r>
                  <a:rPr lang="en-US" baseline="0"/>
                  <a:t> count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452447"/>
        <c:crossesAt val="1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Postharvest</a:t>
            </a:r>
            <a:r>
              <a:rPr lang="en-US" baseline="0"/>
              <a:t> - 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3"/>
          <c:order val="0"/>
          <c:tx>
            <c:v>Birth</c:v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'1.29 - 2003'!$A$13:$A$32</c15:sqref>
                  </c15:fullRef>
                </c:ext>
              </c:extLst>
              <c:f>'1.29 - 2003'!$A$13:$A$19</c:f>
              <c:numCache>
                <c:formatCode>General</c:formatCode>
                <c:ptCount val="7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'1.29 - 2003'!$Z$13:$Z$32</c15:sqref>
                  </c15:fullRef>
                </c:ext>
              </c:extLst>
              <c:f>'1.29 - 2003'!$Z$13:$Z$19</c:f>
              <c:numCache>
                <c:formatCode>General</c:formatCode>
                <c:ptCount val="7"/>
                <c:pt idx="0">
                  <c:v>6448</c:v>
                </c:pt>
                <c:pt idx="1">
                  <c:v>6292</c:v>
                </c:pt>
                <c:pt idx="2">
                  <c:v>4962</c:v>
                </c:pt>
                <c:pt idx="3">
                  <c:v>3792</c:v>
                </c:pt>
                <c:pt idx="4">
                  <c:v>3112</c:v>
                </c:pt>
                <c:pt idx="5">
                  <c:v>2512</c:v>
                </c:pt>
                <c:pt idx="6">
                  <c:v>1996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C2-4FC1-A481-29E3D3F8953B}"/>
            </c:ext>
          </c:extLst>
        </c:ser>
        <c:ser>
          <c:idx val="2"/>
          <c:order val="1"/>
          <c:tx>
            <c:v>Fawn</c:v>
          </c:tx>
          <c:spPr>
            <a:solidFill>
              <a:srgbClr val="CC00CC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'1.29 - 2003'!$A$13:$A$32</c15:sqref>
                  </c15:fullRef>
                </c:ext>
              </c:extLst>
              <c:f>'1.29 - 2003'!$A$13:$A$19</c:f>
              <c:numCache>
                <c:formatCode>General</c:formatCode>
                <c:ptCount val="7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'1.29 - 2003'!$AA$13:$AA$32</c15:sqref>
                  </c15:fullRef>
                </c:ext>
              </c:extLst>
              <c:f>'1.29 - 2003'!$AA$13:$AA$19</c:f>
              <c:numCache>
                <c:formatCode>General</c:formatCode>
                <c:ptCount val="7"/>
                <c:pt idx="0">
                  <c:v>5340</c:v>
                </c:pt>
                <c:pt idx="1">
                  <c:v>4284</c:v>
                </c:pt>
                <c:pt idx="2">
                  <c:v>4181</c:v>
                </c:pt>
                <c:pt idx="3">
                  <c:v>3297</c:v>
                </c:pt>
                <c:pt idx="4">
                  <c:v>2519</c:v>
                </c:pt>
                <c:pt idx="5">
                  <c:v>2069</c:v>
                </c:pt>
                <c:pt idx="6">
                  <c:v>1670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C2-4FC1-A481-29E3D3F8953B}"/>
            </c:ext>
          </c:extLst>
        </c:ser>
        <c:ser>
          <c:idx val="1"/>
          <c:order val="2"/>
          <c:tx>
            <c:v>Yearling</c:v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'1.29 - 2003'!$A$13:$A$32</c15:sqref>
                  </c15:fullRef>
                </c:ext>
              </c:extLst>
              <c:f>'1.29 - 2003'!$A$13:$A$19</c:f>
              <c:numCache>
                <c:formatCode>General</c:formatCode>
                <c:ptCount val="7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'1.29 - 2003'!$AB$13:$AB$32</c15:sqref>
                  </c15:fullRef>
                </c:ext>
              </c:extLst>
              <c:f>'1.29 - 2003'!$AB$13:$AB$19</c:f>
              <c:numCache>
                <c:formatCode>General</c:formatCode>
                <c:ptCount val="7"/>
                <c:pt idx="0">
                  <c:v>5970</c:v>
                </c:pt>
                <c:pt idx="1">
                  <c:v>3254</c:v>
                </c:pt>
                <c:pt idx="2">
                  <c:v>2598</c:v>
                </c:pt>
                <c:pt idx="3">
                  <c:v>2536</c:v>
                </c:pt>
                <c:pt idx="4">
                  <c:v>1999</c:v>
                </c:pt>
                <c:pt idx="5">
                  <c:v>1528</c:v>
                </c:pt>
                <c:pt idx="6">
                  <c:v>1255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C2-4FC1-A481-29E3D3F8953B}"/>
            </c:ext>
          </c:extLst>
        </c:ser>
        <c:ser>
          <c:idx val="0"/>
          <c:order val="3"/>
          <c:tx>
            <c:v>Adult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'1.29 - 2003'!$A$13:$A$32</c15:sqref>
                  </c15:fullRef>
                </c:ext>
              </c:extLst>
              <c:f>'1.29 - 2003'!$A$13:$A$19</c:f>
              <c:numCache>
                <c:formatCode>General</c:formatCode>
                <c:ptCount val="7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'1.29 - 2003'!$AC$13:$AC$32</c15:sqref>
                  </c15:fullRef>
                </c:ext>
              </c:extLst>
              <c:f>'1.29 - 2003'!$AC$13:$AC$19</c:f>
              <c:numCache>
                <c:formatCode>General</c:formatCode>
                <c:ptCount val="7"/>
                <c:pt idx="0">
                  <c:v>5411</c:v>
                </c:pt>
                <c:pt idx="1">
                  <c:v>5266</c:v>
                </c:pt>
                <c:pt idx="2">
                  <c:v>4002</c:v>
                </c:pt>
                <c:pt idx="3">
                  <c:v>3060</c:v>
                </c:pt>
                <c:pt idx="4">
                  <c:v>2575</c:v>
                </c:pt>
                <c:pt idx="5">
                  <c:v>2097</c:v>
                </c:pt>
                <c:pt idx="6">
                  <c:v>1660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C2-4FC1-A481-29E3D3F89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23452447"/>
        <c:axId val="1423450527"/>
      </c:barChart>
      <c:catAx>
        <c:axId val="1423452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47573262389501125"/>
              <c:y val="0.94683651420339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450527"/>
        <c:crosses val="autoZero"/>
        <c:auto val="1"/>
        <c:lblAlgn val="ctr"/>
        <c:lblOffset val="100"/>
        <c:tickMarkSkip val="2"/>
        <c:noMultiLvlLbl val="0"/>
      </c:catAx>
      <c:valAx>
        <c:axId val="142345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Population</a:t>
                </a:r>
                <a:r>
                  <a:rPr lang="en-US" baseline="0"/>
                  <a:t> count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452447"/>
        <c:crossesAt val="1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1351148275137595"/>
          <c:y val="0.33335629921063287"/>
          <c:w val="7.8337135172165326E-2"/>
          <c:h val="0.285327260755968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Postharvest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'1.30'!$A$13:$A$32</c:f>
              <c:numCache>
                <c:formatCode>General</c:formatCode>
                <c:ptCount val="20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</c:numCache>
            </c:numRef>
          </c:xVal>
          <c:yVal>
            <c:numRef>
              <c:f>'1.30'!$H$13:$H$32</c:f>
              <c:numCache>
                <c:formatCode>General</c:formatCode>
                <c:ptCount val="20"/>
                <c:pt idx="0">
                  <c:v>11478</c:v>
                </c:pt>
                <c:pt idx="1">
                  <c:v>10696</c:v>
                </c:pt>
                <c:pt idx="2">
                  <c:v>11099</c:v>
                </c:pt>
                <c:pt idx="3">
                  <c:v>11199</c:v>
                </c:pt>
                <c:pt idx="4">
                  <c:v>11019</c:v>
                </c:pt>
                <c:pt idx="5">
                  <c:v>10930</c:v>
                </c:pt>
                <c:pt idx="6">
                  <c:v>10862</c:v>
                </c:pt>
                <c:pt idx="7">
                  <c:v>10762</c:v>
                </c:pt>
                <c:pt idx="8">
                  <c:v>10667</c:v>
                </c:pt>
                <c:pt idx="9">
                  <c:v>10580</c:v>
                </c:pt>
                <c:pt idx="10">
                  <c:v>10490</c:v>
                </c:pt>
                <c:pt idx="11">
                  <c:v>10399</c:v>
                </c:pt>
                <c:pt idx="12">
                  <c:v>10308</c:v>
                </c:pt>
                <c:pt idx="13">
                  <c:v>10219</c:v>
                </c:pt>
                <c:pt idx="14">
                  <c:v>10131</c:v>
                </c:pt>
                <c:pt idx="15">
                  <c:v>10043</c:v>
                </c:pt>
                <c:pt idx="16">
                  <c:v>9957</c:v>
                </c:pt>
                <c:pt idx="17">
                  <c:v>9871</c:v>
                </c:pt>
                <c:pt idx="18">
                  <c:v>9782</c:v>
                </c:pt>
                <c:pt idx="19">
                  <c:v>9695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57-407C-A1CF-D2021848F2D3}"/>
            </c:ext>
          </c:extLst>
        </c:ser>
        <c:ser>
          <c:idx val="1"/>
          <c:order val="1"/>
          <c:tx>
            <c:v>Preharvest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'1.30'!$A$13:$A$32</c:f>
              <c:numCache>
                <c:formatCode>General</c:formatCode>
                <c:ptCount val="20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</c:numCache>
            </c:numRef>
          </c:xVal>
          <c:yVal>
            <c:numRef>
              <c:f>'1.30'!$W$13:$W$32</c:f>
              <c:numCache>
                <c:formatCode>General</c:formatCode>
                <c:ptCount val="20"/>
                <c:pt idx="0">
                  <c:v>13548</c:v>
                </c:pt>
                <c:pt idx="1">
                  <c:v>13453</c:v>
                </c:pt>
                <c:pt idx="2">
                  <c:v>13563</c:v>
                </c:pt>
                <c:pt idx="3">
                  <c:v>13489</c:v>
                </c:pt>
                <c:pt idx="4">
                  <c:v>13391</c:v>
                </c:pt>
                <c:pt idx="5">
                  <c:v>13286</c:v>
                </c:pt>
                <c:pt idx="6">
                  <c:v>13171</c:v>
                </c:pt>
                <c:pt idx="7">
                  <c:v>13058</c:v>
                </c:pt>
                <c:pt idx="8">
                  <c:v>12950</c:v>
                </c:pt>
                <c:pt idx="9">
                  <c:v>12840</c:v>
                </c:pt>
                <c:pt idx="10">
                  <c:v>12729</c:v>
                </c:pt>
                <c:pt idx="11">
                  <c:v>12618</c:v>
                </c:pt>
                <c:pt idx="12">
                  <c:v>12508</c:v>
                </c:pt>
                <c:pt idx="13">
                  <c:v>12401</c:v>
                </c:pt>
                <c:pt idx="14">
                  <c:v>12292</c:v>
                </c:pt>
                <c:pt idx="15">
                  <c:v>12188</c:v>
                </c:pt>
                <c:pt idx="16">
                  <c:v>12085</c:v>
                </c:pt>
                <c:pt idx="17">
                  <c:v>11975</c:v>
                </c:pt>
                <c:pt idx="18">
                  <c:v>11869</c:v>
                </c:pt>
                <c:pt idx="19">
                  <c:v>11764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57-407C-A1CF-D2021848F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9634607"/>
        <c:axId val="1359635087"/>
      </c:scatterChart>
      <c:valAx>
        <c:axId val="1359634607"/>
        <c:scaling>
          <c:orientation val="minMax"/>
          <c:max val="2030"/>
          <c:min val="202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635087"/>
        <c:crosses val="autoZero"/>
        <c:crossBetween val="midCat"/>
        <c:majorUnit val="2"/>
      </c:valAx>
      <c:valAx>
        <c:axId val="13596350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Population</a:t>
                </a:r>
                <a:r>
                  <a:rPr lang="en-US" baseline="0"/>
                  <a:t> count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6346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Postharvest</a:t>
            </a:r>
            <a:r>
              <a:rPr lang="en-US" baseline="0"/>
              <a:t> - 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v>Birth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'1.30'!$A$13:$A$32</c15:sqref>
                  </c15:fullRef>
                </c:ext>
              </c:extLst>
              <c:f>'1.30'!$A$13:$A$19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'1.30'!$O$13:$O$32</c15:sqref>
                  </c15:fullRef>
                </c:ext>
              </c:extLst>
              <c:f>'1.30'!$O$13:$O$19</c:f>
              <c:numCache>
                <c:formatCode>General</c:formatCode>
                <c:ptCount val="7"/>
                <c:pt idx="0">
                  <c:v>2562</c:v>
                </c:pt>
                <c:pt idx="1">
                  <c:v>2994</c:v>
                </c:pt>
                <c:pt idx="2">
                  <c:v>2893</c:v>
                </c:pt>
                <c:pt idx="3">
                  <c:v>2777</c:v>
                </c:pt>
                <c:pt idx="4">
                  <c:v>2799</c:v>
                </c:pt>
                <c:pt idx="5">
                  <c:v>2784</c:v>
                </c:pt>
                <c:pt idx="6">
                  <c:v>2746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D4-4A02-B4C7-48403AF10191}"/>
            </c:ext>
          </c:extLst>
        </c:ser>
        <c:ser>
          <c:idx val="4"/>
          <c:order val="1"/>
          <c:tx>
            <c:v>Fawn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'1.30'!$A$13:$A$32</c15:sqref>
                  </c15:fullRef>
                </c:ext>
              </c:extLst>
              <c:f>'1.30'!$A$13:$A$19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'1.30'!$F$13:$F$32</c15:sqref>
                  </c15:fullRef>
                </c:ext>
              </c:extLst>
              <c:f>'1.30'!$F$13:$F$19</c:f>
              <c:numCache>
                <c:formatCode>General</c:formatCode>
                <c:ptCount val="7"/>
                <c:pt idx="0">
                  <c:v>1393</c:v>
                </c:pt>
                <c:pt idx="1">
                  <c:v>1886</c:v>
                </c:pt>
                <c:pt idx="2">
                  <c:v>2203</c:v>
                </c:pt>
                <c:pt idx="3">
                  <c:v>2129</c:v>
                </c:pt>
                <c:pt idx="4">
                  <c:v>2043</c:v>
                </c:pt>
                <c:pt idx="5">
                  <c:v>2060</c:v>
                </c:pt>
                <c:pt idx="6">
                  <c:v>2048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D4-4A02-B4C7-48403AF10191}"/>
            </c:ext>
          </c:extLst>
        </c:ser>
        <c:ser>
          <c:idx val="3"/>
          <c:order val="2"/>
          <c:tx>
            <c:v>Young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'1.30'!$A$13:$A$32</c15:sqref>
                  </c15:fullRef>
                </c:ext>
              </c:extLst>
              <c:f>'1.30'!$A$13:$A$19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'1.30'!$D$13:$D$32</c15:sqref>
                  </c15:fullRef>
                </c:ext>
              </c:extLst>
              <c:f>'1.30'!$D$13:$D$19</c:f>
              <c:numCache>
                <c:formatCode>General</c:formatCode>
                <c:ptCount val="7"/>
                <c:pt idx="0">
                  <c:v>1529</c:v>
                </c:pt>
                <c:pt idx="1">
                  <c:v>814</c:v>
                </c:pt>
                <c:pt idx="2">
                  <c:v>1102</c:v>
                </c:pt>
                <c:pt idx="3">
                  <c:v>1288</c:v>
                </c:pt>
                <c:pt idx="4">
                  <c:v>1244</c:v>
                </c:pt>
                <c:pt idx="5">
                  <c:v>1195</c:v>
                </c:pt>
                <c:pt idx="6">
                  <c:v>1204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D4-4A02-B4C7-48403AF10191}"/>
            </c:ext>
          </c:extLst>
        </c:ser>
        <c:ser>
          <c:idx val="2"/>
          <c:order val="3"/>
          <c:tx>
            <c:v>Adult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'1.30'!$A$13:$A$32</c15:sqref>
                  </c15:fullRef>
                </c:ext>
              </c:extLst>
              <c:f>'1.30'!$A$13:$A$19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'1.30'!$B$13:$B$32</c15:sqref>
                  </c15:fullRef>
                </c:ext>
              </c:extLst>
              <c:f>'1.30'!$B$13:$B$19</c:f>
              <c:numCache>
                <c:formatCode>General</c:formatCode>
                <c:ptCount val="7"/>
                <c:pt idx="0">
                  <c:v>871</c:v>
                </c:pt>
                <c:pt idx="1">
                  <c:v>701</c:v>
                </c:pt>
                <c:pt idx="2">
                  <c:v>443</c:v>
                </c:pt>
                <c:pt idx="3">
                  <c:v>451</c:v>
                </c:pt>
                <c:pt idx="4">
                  <c:v>508</c:v>
                </c:pt>
                <c:pt idx="5">
                  <c:v>512</c:v>
                </c:pt>
                <c:pt idx="6">
                  <c:v>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D4-4A02-B4C7-48403AF10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23452447"/>
        <c:axId val="1423450527"/>
      </c:barChart>
      <c:catAx>
        <c:axId val="1423452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47573262389501125"/>
              <c:y val="0.94683651420339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450527"/>
        <c:crosses val="autoZero"/>
        <c:auto val="1"/>
        <c:lblAlgn val="ctr"/>
        <c:lblOffset val="100"/>
        <c:tickMarkSkip val="2"/>
        <c:noMultiLvlLbl val="0"/>
      </c:catAx>
      <c:valAx>
        <c:axId val="1423450527"/>
        <c:scaling>
          <c:orientation val="minMax"/>
          <c:max val="3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Population</a:t>
                </a:r>
                <a:r>
                  <a:rPr lang="en-US" baseline="0"/>
                  <a:t> count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452447"/>
        <c:crossesAt val="1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Postharvest</a:t>
            </a:r>
            <a:r>
              <a:rPr lang="en-US" baseline="0"/>
              <a:t> - Female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v>Birth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'1.30'!$A$13:$A$32</c15:sqref>
                  </c15:fullRef>
                </c:ext>
              </c:extLst>
              <c:f>'1.30'!$A$13:$A$19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'1.30'!$P$13:$P$32</c15:sqref>
                  </c15:fullRef>
                </c:ext>
              </c:extLst>
              <c:f>'1.30'!$P$13:$P$19</c:f>
              <c:numCache>
                <c:formatCode>General</c:formatCode>
                <c:ptCount val="7"/>
                <c:pt idx="0">
                  <c:v>2562</c:v>
                </c:pt>
                <c:pt idx="1">
                  <c:v>2994</c:v>
                </c:pt>
                <c:pt idx="2">
                  <c:v>2893</c:v>
                </c:pt>
                <c:pt idx="3">
                  <c:v>2777</c:v>
                </c:pt>
                <c:pt idx="4">
                  <c:v>2799</c:v>
                </c:pt>
                <c:pt idx="5">
                  <c:v>2784</c:v>
                </c:pt>
                <c:pt idx="6">
                  <c:v>2746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14-4BF8-A836-1A003B328CC3}"/>
            </c:ext>
          </c:extLst>
        </c:ser>
        <c:ser>
          <c:idx val="4"/>
          <c:order val="1"/>
          <c:tx>
            <c:v>Fawn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'1.30'!$A$13:$A$32</c15:sqref>
                  </c15:fullRef>
                </c:ext>
              </c:extLst>
              <c:f>'1.30'!$A$13:$A$19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'1.30'!$G$13:$G$32</c15:sqref>
                  </c15:fullRef>
                </c:ext>
              </c:extLst>
              <c:f>'1.30'!$G$13:$G$19</c:f>
              <c:numCache>
                <c:formatCode>General</c:formatCode>
                <c:ptCount val="7"/>
                <c:pt idx="0">
                  <c:v>2132</c:v>
                </c:pt>
                <c:pt idx="1">
                  <c:v>1925</c:v>
                </c:pt>
                <c:pt idx="2">
                  <c:v>2249</c:v>
                </c:pt>
                <c:pt idx="3">
                  <c:v>2174</c:v>
                </c:pt>
                <c:pt idx="4">
                  <c:v>2086</c:v>
                </c:pt>
                <c:pt idx="5">
                  <c:v>2103</c:v>
                </c:pt>
                <c:pt idx="6">
                  <c:v>2091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14-4BF8-A836-1A003B328CC3}"/>
            </c:ext>
          </c:extLst>
        </c:ser>
        <c:ser>
          <c:idx val="3"/>
          <c:order val="2"/>
          <c:tx>
            <c:v>Young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'1.30'!$A$13:$A$32</c15:sqref>
                  </c15:fullRef>
                </c:ext>
              </c:extLst>
              <c:f>'1.30'!$A$13:$A$19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'1.30'!$E$13:$E$32</c15:sqref>
                  </c15:fullRef>
                </c:ext>
              </c:extLst>
              <c:f>'1.30'!$E$13:$E$19</c:f>
              <c:numCache>
                <c:formatCode>General</c:formatCode>
                <c:ptCount val="7"/>
                <c:pt idx="0">
                  <c:v>2427</c:v>
                </c:pt>
                <c:pt idx="1">
                  <c:v>1561</c:v>
                </c:pt>
                <c:pt idx="2">
                  <c:v>1409</c:v>
                </c:pt>
                <c:pt idx="3">
                  <c:v>1648</c:v>
                </c:pt>
                <c:pt idx="4">
                  <c:v>1593</c:v>
                </c:pt>
                <c:pt idx="5">
                  <c:v>1528</c:v>
                </c:pt>
                <c:pt idx="6">
                  <c:v>1540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14-4BF8-A836-1A003B328CC3}"/>
            </c:ext>
          </c:extLst>
        </c:ser>
        <c:ser>
          <c:idx val="2"/>
          <c:order val="3"/>
          <c:tx>
            <c:v>Adult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'1.30'!$A$13:$A$32</c15:sqref>
                  </c15:fullRef>
                </c:ext>
              </c:extLst>
              <c:f>'1.30'!$A$13:$A$19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'1.30'!$C$13:$C$32</c15:sqref>
                  </c15:fullRef>
                </c:ext>
              </c:extLst>
              <c:f>'1.30'!$C$13:$C$19</c:f>
              <c:numCache>
                <c:formatCode>General</c:formatCode>
                <c:ptCount val="7"/>
                <c:pt idx="0">
                  <c:v>3126</c:v>
                </c:pt>
                <c:pt idx="1">
                  <c:v>3809</c:v>
                </c:pt>
                <c:pt idx="2">
                  <c:v>3693</c:v>
                </c:pt>
                <c:pt idx="3">
                  <c:v>3509</c:v>
                </c:pt>
                <c:pt idx="4">
                  <c:v>3545</c:v>
                </c:pt>
                <c:pt idx="5">
                  <c:v>3532</c:v>
                </c:pt>
                <c:pt idx="6">
                  <c:v>3480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14-4BF8-A836-1A003B328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23452447"/>
        <c:axId val="1423450527"/>
      </c:barChart>
      <c:catAx>
        <c:axId val="1423452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47573262389501125"/>
              <c:y val="0.94683651420339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450527"/>
        <c:crosses val="autoZero"/>
        <c:auto val="1"/>
        <c:lblAlgn val="ctr"/>
        <c:lblOffset val="100"/>
        <c:tickMarkSkip val="2"/>
        <c:noMultiLvlLbl val="0"/>
      </c:catAx>
      <c:valAx>
        <c:axId val="1423450527"/>
        <c:scaling>
          <c:orientation val="minMax"/>
          <c:max val="3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Population</a:t>
                </a:r>
                <a:r>
                  <a:rPr lang="en-US" baseline="0"/>
                  <a:t> count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452447"/>
        <c:crossesAt val="1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Postharvest</a:t>
            </a:r>
            <a:r>
              <a:rPr lang="en-US" baseline="0"/>
              <a:t> - 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3"/>
          <c:order val="0"/>
          <c:tx>
            <c:v>Birth</c:v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'1.30'!$A$13:$A$32</c15:sqref>
                  </c15:fullRef>
                </c:ext>
              </c:extLst>
              <c:f>'1.30'!$A$13:$A$19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'1.30'!$Z$13:$Z$32</c15:sqref>
                  </c15:fullRef>
                </c:ext>
              </c:extLst>
              <c:f>'1.30'!$Z$13:$Z$19</c:f>
              <c:numCache>
                <c:formatCode>General</c:formatCode>
                <c:ptCount val="7"/>
                <c:pt idx="0">
                  <c:v>5124</c:v>
                </c:pt>
                <c:pt idx="1">
                  <c:v>5988</c:v>
                </c:pt>
                <c:pt idx="2">
                  <c:v>5786</c:v>
                </c:pt>
                <c:pt idx="3">
                  <c:v>5554</c:v>
                </c:pt>
                <c:pt idx="4">
                  <c:v>5598</c:v>
                </c:pt>
                <c:pt idx="5">
                  <c:v>5568</c:v>
                </c:pt>
                <c:pt idx="6">
                  <c:v>5492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3B-4DC1-A3DB-717BBDB98CF5}"/>
            </c:ext>
          </c:extLst>
        </c:ser>
        <c:ser>
          <c:idx val="2"/>
          <c:order val="1"/>
          <c:tx>
            <c:v>Fawn</c:v>
          </c:tx>
          <c:spPr>
            <a:solidFill>
              <a:srgbClr val="CC00CC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'1.30'!$A$13:$A$32</c15:sqref>
                  </c15:fullRef>
                </c:ext>
              </c:extLst>
              <c:f>'1.30'!$A$13:$A$19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'1.30'!$AA$13:$AA$32</c15:sqref>
                  </c15:fullRef>
                </c:ext>
              </c:extLst>
              <c:f>'1.30'!$AA$13:$AA$19</c:f>
              <c:numCache>
                <c:formatCode>General</c:formatCode>
                <c:ptCount val="7"/>
                <c:pt idx="0">
                  <c:v>3525</c:v>
                </c:pt>
                <c:pt idx="1">
                  <c:v>3811</c:v>
                </c:pt>
                <c:pt idx="2">
                  <c:v>4452</c:v>
                </c:pt>
                <c:pt idx="3">
                  <c:v>4303</c:v>
                </c:pt>
                <c:pt idx="4">
                  <c:v>4129</c:v>
                </c:pt>
                <c:pt idx="5">
                  <c:v>4163</c:v>
                </c:pt>
                <c:pt idx="6">
                  <c:v>4139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3B-4DC1-A3DB-717BBDB98CF5}"/>
            </c:ext>
          </c:extLst>
        </c:ser>
        <c:ser>
          <c:idx val="1"/>
          <c:order val="2"/>
          <c:tx>
            <c:v>Yearling</c:v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'1.30'!$A$13:$A$32</c15:sqref>
                  </c15:fullRef>
                </c:ext>
              </c:extLst>
              <c:f>'1.30'!$A$13:$A$19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'1.30'!$AB$13:$AB$32</c15:sqref>
                  </c15:fullRef>
                </c:ext>
              </c:extLst>
              <c:f>'1.30'!$AB$13:$AB$19</c:f>
              <c:numCache>
                <c:formatCode>General</c:formatCode>
                <c:ptCount val="7"/>
                <c:pt idx="0">
                  <c:v>3956</c:v>
                </c:pt>
                <c:pt idx="1">
                  <c:v>2375</c:v>
                </c:pt>
                <c:pt idx="2">
                  <c:v>2511</c:v>
                </c:pt>
                <c:pt idx="3">
                  <c:v>2936</c:v>
                </c:pt>
                <c:pt idx="4">
                  <c:v>2837</c:v>
                </c:pt>
                <c:pt idx="5">
                  <c:v>2723</c:v>
                </c:pt>
                <c:pt idx="6">
                  <c:v>2744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3B-4DC1-A3DB-717BBDB98CF5}"/>
            </c:ext>
          </c:extLst>
        </c:ser>
        <c:ser>
          <c:idx val="0"/>
          <c:order val="3"/>
          <c:tx>
            <c:v>Adult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'1.30'!$A$13:$A$32</c15:sqref>
                  </c15:fullRef>
                </c:ext>
              </c:extLst>
              <c:f>'1.30'!$A$13:$A$19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'1.30'!$AC$13:$AC$32</c15:sqref>
                  </c15:fullRef>
                </c:ext>
              </c:extLst>
              <c:f>'1.30'!$AC$13:$AC$19</c:f>
              <c:numCache>
                <c:formatCode>General</c:formatCode>
                <c:ptCount val="7"/>
                <c:pt idx="0">
                  <c:v>3997</c:v>
                </c:pt>
                <c:pt idx="1">
                  <c:v>4510</c:v>
                </c:pt>
                <c:pt idx="2">
                  <c:v>4136</c:v>
                </c:pt>
                <c:pt idx="3">
                  <c:v>3960</c:v>
                </c:pt>
                <c:pt idx="4">
                  <c:v>4053</c:v>
                </c:pt>
                <c:pt idx="5">
                  <c:v>4044</c:v>
                </c:pt>
                <c:pt idx="6">
                  <c:v>3979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3B-4DC1-A3DB-717BBDB98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23452447"/>
        <c:axId val="1423450527"/>
      </c:barChart>
      <c:catAx>
        <c:axId val="1423452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47573262389501125"/>
              <c:y val="0.94683651420339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450527"/>
        <c:crosses val="autoZero"/>
        <c:auto val="1"/>
        <c:lblAlgn val="ctr"/>
        <c:lblOffset val="100"/>
        <c:tickMarkSkip val="2"/>
        <c:noMultiLvlLbl val="0"/>
      </c:catAx>
      <c:valAx>
        <c:axId val="142345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Population</a:t>
                </a:r>
                <a:r>
                  <a:rPr lang="en-US" baseline="0"/>
                  <a:t> count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452447"/>
        <c:crossesAt val="1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1351148275137595"/>
          <c:y val="0.33335629921063287"/>
          <c:w val="7.8337135172165326E-2"/>
          <c:h val="0.285327260755968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Postharvest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'2.2'!$A$13:$A$32</c:f>
              <c:numCache>
                <c:formatCode>General</c:formatCode>
                <c:ptCount val="20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</c:numCache>
            </c:numRef>
          </c:xVal>
          <c:yVal>
            <c:numRef>
              <c:f>'2.2'!$H$13:$H$32</c:f>
              <c:numCache>
                <c:formatCode>General</c:formatCode>
                <c:ptCount val="20"/>
                <c:pt idx="0">
                  <c:v>11478</c:v>
                </c:pt>
                <c:pt idx="1">
                  <c:v>10696</c:v>
                </c:pt>
                <c:pt idx="2">
                  <c:v>11099</c:v>
                </c:pt>
                <c:pt idx="3">
                  <c:v>11199</c:v>
                </c:pt>
                <c:pt idx="4">
                  <c:v>11019</c:v>
                </c:pt>
                <c:pt idx="5">
                  <c:v>10930</c:v>
                </c:pt>
                <c:pt idx="6">
                  <c:v>10862</c:v>
                </c:pt>
                <c:pt idx="7">
                  <c:v>10762</c:v>
                </c:pt>
                <c:pt idx="8">
                  <c:v>10667</c:v>
                </c:pt>
                <c:pt idx="9">
                  <c:v>10580</c:v>
                </c:pt>
                <c:pt idx="10">
                  <c:v>10490</c:v>
                </c:pt>
                <c:pt idx="11">
                  <c:v>10399</c:v>
                </c:pt>
                <c:pt idx="12">
                  <c:v>10308</c:v>
                </c:pt>
                <c:pt idx="13">
                  <c:v>10219</c:v>
                </c:pt>
                <c:pt idx="14">
                  <c:v>10131</c:v>
                </c:pt>
                <c:pt idx="15">
                  <c:v>10043</c:v>
                </c:pt>
                <c:pt idx="16">
                  <c:v>9957</c:v>
                </c:pt>
                <c:pt idx="17">
                  <c:v>9871</c:v>
                </c:pt>
                <c:pt idx="18">
                  <c:v>9782</c:v>
                </c:pt>
                <c:pt idx="19">
                  <c:v>9695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B2-444A-A09E-45FE9048D528}"/>
            </c:ext>
          </c:extLst>
        </c:ser>
        <c:ser>
          <c:idx val="1"/>
          <c:order val="1"/>
          <c:tx>
            <c:v>Preharvest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'2.2'!$A$13:$A$32</c:f>
              <c:numCache>
                <c:formatCode>General</c:formatCode>
                <c:ptCount val="20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</c:numCache>
            </c:numRef>
          </c:xVal>
          <c:yVal>
            <c:numRef>
              <c:f>'2.2'!$W$13:$W$32</c:f>
              <c:numCache>
                <c:formatCode>General</c:formatCode>
                <c:ptCount val="20"/>
                <c:pt idx="0">
                  <c:v>13548</c:v>
                </c:pt>
                <c:pt idx="1">
                  <c:v>13453</c:v>
                </c:pt>
                <c:pt idx="2">
                  <c:v>13563</c:v>
                </c:pt>
                <c:pt idx="3">
                  <c:v>13489</c:v>
                </c:pt>
                <c:pt idx="4">
                  <c:v>13391</c:v>
                </c:pt>
                <c:pt idx="5">
                  <c:v>13286</c:v>
                </c:pt>
                <c:pt idx="6">
                  <c:v>13171</c:v>
                </c:pt>
                <c:pt idx="7">
                  <c:v>13058</c:v>
                </c:pt>
                <c:pt idx="8">
                  <c:v>12950</c:v>
                </c:pt>
                <c:pt idx="9">
                  <c:v>12840</c:v>
                </c:pt>
                <c:pt idx="10">
                  <c:v>12729</c:v>
                </c:pt>
                <c:pt idx="11">
                  <c:v>12618</c:v>
                </c:pt>
                <c:pt idx="12">
                  <c:v>12508</c:v>
                </c:pt>
                <c:pt idx="13">
                  <c:v>12401</c:v>
                </c:pt>
                <c:pt idx="14">
                  <c:v>12292</c:v>
                </c:pt>
                <c:pt idx="15">
                  <c:v>12188</c:v>
                </c:pt>
                <c:pt idx="16">
                  <c:v>12085</c:v>
                </c:pt>
                <c:pt idx="17">
                  <c:v>11975</c:v>
                </c:pt>
                <c:pt idx="18">
                  <c:v>11869</c:v>
                </c:pt>
                <c:pt idx="19">
                  <c:v>11764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EB2-444A-A09E-45FE9048D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9634607"/>
        <c:axId val="1359635087"/>
      </c:scatterChart>
      <c:valAx>
        <c:axId val="1359634607"/>
        <c:scaling>
          <c:orientation val="minMax"/>
          <c:max val="2030"/>
          <c:min val="202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635087"/>
        <c:crosses val="autoZero"/>
        <c:crossBetween val="midCat"/>
        <c:majorUnit val="2"/>
      </c:valAx>
      <c:valAx>
        <c:axId val="13596350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Population</a:t>
                </a:r>
                <a:r>
                  <a:rPr lang="en-US" baseline="0"/>
                  <a:t> count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6346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Postharvest</a:t>
            </a:r>
            <a:r>
              <a:rPr lang="en-US" baseline="0"/>
              <a:t> - 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v>Birth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'2.2'!$A$13:$A$32</c15:sqref>
                  </c15:fullRef>
                </c:ext>
              </c:extLst>
              <c:f>'2.2'!$A$13:$A$19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'2.2'!$O$13:$O$32</c15:sqref>
                  </c15:fullRef>
                </c:ext>
              </c:extLst>
              <c:f>'2.2'!$O$13:$O$19</c:f>
              <c:numCache>
                <c:formatCode>General</c:formatCode>
                <c:ptCount val="7"/>
                <c:pt idx="0">
                  <c:v>2562</c:v>
                </c:pt>
                <c:pt idx="1">
                  <c:v>2994</c:v>
                </c:pt>
                <c:pt idx="2">
                  <c:v>2893</c:v>
                </c:pt>
                <c:pt idx="3">
                  <c:v>2777</c:v>
                </c:pt>
                <c:pt idx="4">
                  <c:v>2799</c:v>
                </c:pt>
                <c:pt idx="5">
                  <c:v>2784</c:v>
                </c:pt>
                <c:pt idx="6">
                  <c:v>2746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8B-4872-92E0-717BADA7D842}"/>
            </c:ext>
          </c:extLst>
        </c:ser>
        <c:ser>
          <c:idx val="4"/>
          <c:order val="1"/>
          <c:tx>
            <c:v>Fawn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'2.2'!$A$13:$A$32</c15:sqref>
                  </c15:fullRef>
                </c:ext>
              </c:extLst>
              <c:f>'2.2'!$A$13:$A$19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'2.2'!$F$13:$F$32</c15:sqref>
                  </c15:fullRef>
                </c:ext>
              </c:extLst>
              <c:f>'2.2'!$F$13:$F$19</c:f>
              <c:numCache>
                <c:formatCode>General</c:formatCode>
                <c:ptCount val="7"/>
                <c:pt idx="0">
                  <c:v>1393</c:v>
                </c:pt>
                <c:pt idx="1">
                  <c:v>1886</c:v>
                </c:pt>
                <c:pt idx="2">
                  <c:v>2203</c:v>
                </c:pt>
                <c:pt idx="3">
                  <c:v>2129</c:v>
                </c:pt>
                <c:pt idx="4">
                  <c:v>2043</c:v>
                </c:pt>
                <c:pt idx="5">
                  <c:v>2060</c:v>
                </c:pt>
                <c:pt idx="6">
                  <c:v>2048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8B-4872-92E0-717BADA7D842}"/>
            </c:ext>
          </c:extLst>
        </c:ser>
        <c:ser>
          <c:idx val="3"/>
          <c:order val="2"/>
          <c:tx>
            <c:v>Young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'2.2'!$A$13:$A$32</c15:sqref>
                  </c15:fullRef>
                </c:ext>
              </c:extLst>
              <c:f>'2.2'!$A$13:$A$19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'2.2'!$D$13:$D$32</c15:sqref>
                  </c15:fullRef>
                </c:ext>
              </c:extLst>
              <c:f>'2.2'!$D$13:$D$19</c:f>
              <c:numCache>
                <c:formatCode>General</c:formatCode>
                <c:ptCount val="7"/>
                <c:pt idx="0">
                  <c:v>1529</c:v>
                </c:pt>
                <c:pt idx="1">
                  <c:v>814</c:v>
                </c:pt>
                <c:pt idx="2">
                  <c:v>1102</c:v>
                </c:pt>
                <c:pt idx="3">
                  <c:v>1288</c:v>
                </c:pt>
                <c:pt idx="4">
                  <c:v>1244</c:v>
                </c:pt>
                <c:pt idx="5">
                  <c:v>1195</c:v>
                </c:pt>
                <c:pt idx="6">
                  <c:v>1204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8B-4872-92E0-717BADA7D842}"/>
            </c:ext>
          </c:extLst>
        </c:ser>
        <c:ser>
          <c:idx val="2"/>
          <c:order val="3"/>
          <c:tx>
            <c:v>Adult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'2.2'!$A$13:$A$32</c15:sqref>
                  </c15:fullRef>
                </c:ext>
              </c:extLst>
              <c:f>'2.2'!$A$13:$A$19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'2.2'!$B$13:$B$32</c15:sqref>
                  </c15:fullRef>
                </c:ext>
              </c:extLst>
              <c:f>'2.2'!$B$13:$B$19</c:f>
              <c:numCache>
                <c:formatCode>General</c:formatCode>
                <c:ptCount val="7"/>
                <c:pt idx="0">
                  <c:v>871</c:v>
                </c:pt>
                <c:pt idx="1">
                  <c:v>701</c:v>
                </c:pt>
                <c:pt idx="2">
                  <c:v>443</c:v>
                </c:pt>
                <c:pt idx="3">
                  <c:v>451</c:v>
                </c:pt>
                <c:pt idx="4">
                  <c:v>508</c:v>
                </c:pt>
                <c:pt idx="5">
                  <c:v>512</c:v>
                </c:pt>
                <c:pt idx="6">
                  <c:v>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8B-4872-92E0-717BADA7D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23452447"/>
        <c:axId val="1423450527"/>
      </c:barChart>
      <c:catAx>
        <c:axId val="1423452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47573262389501125"/>
              <c:y val="0.94683651420339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450527"/>
        <c:crosses val="autoZero"/>
        <c:auto val="1"/>
        <c:lblAlgn val="ctr"/>
        <c:lblOffset val="100"/>
        <c:tickMarkSkip val="2"/>
        <c:noMultiLvlLbl val="0"/>
      </c:catAx>
      <c:valAx>
        <c:axId val="1423450527"/>
        <c:scaling>
          <c:orientation val="minMax"/>
          <c:max val="3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Population</a:t>
                </a:r>
                <a:r>
                  <a:rPr lang="en-US" baseline="0"/>
                  <a:t> count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452447"/>
        <c:crossesAt val="1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Postharvest</a:t>
            </a:r>
            <a:r>
              <a:rPr lang="en-US" baseline="0"/>
              <a:t> - Female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v>Birth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'2.2'!$A$13:$A$32</c15:sqref>
                  </c15:fullRef>
                </c:ext>
              </c:extLst>
              <c:f>'2.2'!$A$13:$A$19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'2.2'!$P$13:$P$32</c15:sqref>
                  </c15:fullRef>
                </c:ext>
              </c:extLst>
              <c:f>'2.2'!$P$13:$P$19</c:f>
              <c:numCache>
                <c:formatCode>General</c:formatCode>
                <c:ptCount val="7"/>
                <c:pt idx="0">
                  <c:v>2562</c:v>
                </c:pt>
                <c:pt idx="1">
                  <c:v>2994</c:v>
                </c:pt>
                <c:pt idx="2">
                  <c:v>2893</c:v>
                </c:pt>
                <c:pt idx="3">
                  <c:v>2777</c:v>
                </c:pt>
                <c:pt idx="4">
                  <c:v>2799</c:v>
                </c:pt>
                <c:pt idx="5">
                  <c:v>2784</c:v>
                </c:pt>
                <c:pt idx="6">
                  <c:v>2746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25-43B4-84C1-3202928A4AEC}"/>
            </c:ext>
          </c:extLst>
        </c:ser>
        <c:ser>
          <c:idx val="4"/>
          <c:order val="1"/>
          <c:tx>
            <c:v>Fawn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'2.2'!$A$13:$A$32</c15:sqref>
                  </c15:fullRef>
                </c:ext>
              </c:extLst>
              <c:f>'2.2'!$A$13:$A$19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'2.2'!$G$13:$G$32</c15:sqref>
                  </c15:fullRef>
                </c:ext>
              </c:extLst>
              <c:f>'2.2'!$G$13:$G$19</c:f>
              <c:numCache>
                <c:formatCode>General</c:formatCode>
                <c:ptCount val="7"/>
                <c:pt idx="0">
                  <c:v>2132</c:v>
                </c:pt>
                <c:pt idx="1">
                  <c:v>1925</c:v>
                </c:pt>
                <c:pt idx="2">
                  <c:v>2249</c:v>
                </c:pt>
                <c:pt idx="3">
                  <c:v>2174</c:v>
                </c:pt>
                <c:pt idx="4">
                  <c:v>2086</c:v>
                </c:pt>
                <c:pt idx="5">
                  <c:v>2103</c:v>
                </c:pt>
                <c:pt idx="6">
                  <c:v>2091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25-43B4-84C1-3202928A4AEC}"/>
            </c:ext>
          </c:extLst>
        </c:ser>
        <c:ser>
          <c:idx val="3"/>
          <c:order val="2"/>
          <c:tx>
            <c:v>Young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'2.2'!$A$13:$A$32</c15:sqref>
                  </c15:fullRef>
                </c:ext>
              </c:extLst>
              <c:f>'2.2'!$A$13:$A$19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'2.2'!$E$13:$E$32</c15:sqref>
                  </c15:fullRef>
                </c:ext>
              </c:extLst>
              <c:f>'2.2'!$E$13:$E$19</c:f>
              <c:numCache>
                <c:formatCode>General</c:formatCode>
                <c:ptCount val="7"/>
                <c:pt idx="0">
                  <c:v>2427</c:v>
                </c:pt>
                <c:pt idx="1">
                  <c:v>1561</c:v>
                </c:pt>
                <c:pt idx="2">
                  <c:v>1409</c:v>
                </c:pt>
                <c:pt idx="3">
                  <c:v>1648</c:v>
                </c:pt>
                <c:pt idx="4">
                  <c:v>1593</c:v>
                </c:pt>
                <c:pt idx="5">
                  <c:v>1528</c:v>
                </c:pt>
                <c:pt idx="6">
                  <c:v>1540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25-43B4-84C1-3202928A4AEC}"/>
            </c:ext>
          </c:extLst>
        </c:ser>
        <c:ser>
          <c:idx val="2"/>
          <c:order val="3"/>
          <c:tx>
            <c:v>Adult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'2.2'!$A$13:$A$32</c15:sqref>
                  </c15:fullRef>
                </c:ext>
              </c:extLst>
              <c:f>'2.2'!$A$13:$A$19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'2.2'!$C$13:$C$32</c15:sqref>
                  </c15:fullRef>
                </c:ext>
              </c:extLst>
              <c:f>'2.2'!$C$13:$C$19</c:f>
              <c:numCache>
                <c:formatCode>General</c:formatCode>
                <c:ptCount val="7"/>
                <c:pt idx="0">
                  <c:v>3126</c:v>
                </c:pt>
                <c:pt idx="1">
                  <c:v>3809</c:v>
                </c:pt>
                <c:pt idx="2">
                  <c:v>3693</c:v>
                </c:pt>
                <c:pt idx="3">
                  <c:v>3509</c:v>
                </c:pt>
                <c:pt idx="4">
                  <c:v>3545</c:v>
                </c:pt>
                <c:pt idx="5">
                  <c:v>3532</c:v>
                </c:pt>
                <c:pt idx="6">
                  <c:v>3480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25-43B4-84C1-3202928A4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23452447"/>
        <c:axId val="1423450527"/>
      </c:barChart>
      <c:catAx>
        <c:axId val="1423452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47573262389501125"/>
              <c:y val="0.94683651420339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450527"/>
        <c:crosses val="autoZero"/>
        <c:auto val="1"/>
        <c:lblAlgn val="ctr"/>
        <c:lblOffset val="100"/>
        <c:tickMarkSkip val="2"/>
        <c:noMultiLvlLbl val="0"/>
      </c:catAx>
      <c:valAx>
        <c:axId val="1423450527"/>
        <c:scaling>
          <c:orientation val="minMax"/>
          <c:max val="3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Population</a:t>
                </a:r>
                <a:r>
                  <a:rPr lang="en-US" baseline="0"/>
                  <a:t> count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452447"/>
        <c:crossesAt val="1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Postharvest</a:t>
            </a:r>
            <a:r>
              <a:rPr lang="en-US" baseline="0"/>
              <a:t> - 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3"/>
          <c:order val="0"/>
          <c:tx>
            <c:v>Birth</c:v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'2.2'!$A$13:$A$32</c15:sqref>
                  </c15:fullRef>
                </c:ext>
              </c:extLst>
              <c:f>'2.2'!$A$13:$A$19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'2.2'!$Z$13:$Z$32</c15:sqref>
                  </c15:fullRef>
                </c:ext>
              </c:extLst>
              <c:f>'2.2'!$Z$13:$Z$19</c:f>
              <c:numCache>
                <c:formatCode>General</c:formatCode>
                <c:ptCount val="7"/>
                <c:pt idx="0">
                  <c:v>5124</c:v>
                </c:pt>
                <c:pt idx="1">
                  <c:v>5988</c:v>
                </c:pt>
                <c:pt idx="2">
                  <c:v>5786</c:v>
                </c:pt>
                <c:pt idx="3">
                  <c:v>5554</c:v>
                </c:pt>
                <c:pt idx="4">
                  <c:v>5598</c:v>
                </c:pt>
                <c:pt idx="5">
                  <c:v>5568</c:v>
                </c:pt>
                <c:pt idx="6">
                  <c:v>5492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10-4E38-B49C-5D947FEB69AF}"/>
            </c:ext>
          </c:extLst>
        </c:ser>
        <c:ser>
          <c:idx val="2"/>
          <c:order val="1"/>
          <c:tx>
            <c:v>Fawn</c:v>
          </c:tx>
          <c:spPr>
            <a:solidFill>
              <a:srgbClr val="CC00CC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'2.2'!$A$13:$A$32</c15:sqref>
                  </c15:fullRef>
                </c:ext>
              </c:extLst>
              <c:f>'2.2'!$A$13:$A$19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'2.2'!$AA$13:$AA$32</c15:sqref>
                  </c15:fullRef>
                </c:ext>
              </c:extLst>
              <c:f>'2.2'!$AA$13:$AA$19</c:f>
              <c:numCache>
                <c:formatCode>General</c:formatCode>
                <c:ptCount val="7"/>
                <c:pt idx="0">
                  <c:v>3525</c:v>
                </c:pt>
                <c:pt idx="1">
                  <c:v>3811</c:v>
                </c:pt>
                <c:pt idx="2">
                  <c:v>4452</c:v>
                </c:pt>
                <c:pt idx="3">
                  <c:v>4303</c:v>
                </c:pt>
                <c:pt idx="4">
                  <c:v>4129</c:v>
                </c:pt>
                <c:pt idx="5">
                  <c:v>4163</c:v>
                </c:pt>
                <c:pt idx="6">
                  <c:v>4139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10-4E38-B49C-5D947FEB69AF}"/>
            </c:ext>
          </c:extLst>
        </c:ser>
        <c:ser>
          <c:idx val="1"/>
          <c:order val="2"/>
          <c:tx>
            <c:v>Yearling</c:v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'2.2'!$A$13:$A$32</c15:sqref>
                  </c15:fullRef>
                </c:ext>
              </c:extLst>
              <c:f>'2.2'!$A$13:$A$19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'2.2'!$AB$13:$AB$32</c15:sqref>
                  </c15:fullRef>
                </c:ext>
              </c:extLst>
              <c:f>'2.2'!$AB$13:$AB$19</c:f>
              <c:numCache>
                <c:formatCode>General</c:formatCode>
                <c:ptCount val="7"/>
                <c:pt idx="0">
                  <c:v>3956</c:v>
                </c:pt>
                <c:pt idx="1">
                  <c:v>2375</c:v>
                </c:pt>
                <c:pt idx="2">
                  <c:v>2511</c:v>
                </c:pt>
                <c:pt idx="3">
                  <c:v>2936</c:v>
                </c:pt>
                <c:pt idx="4">
                  <c:v>2837</c:v>
                </c:pt>
                <c:pt idx="5">
                  <c:v>2723</c:v>
                </c:pt>
                <c:pt idx="6">
                  <c:v>2744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10-4E38-B49C-5D947FEB69AF}"/>
            </c:ext>
          </c:extLst>
        </c:ser>
        <c:ser>
          <c:idx val="0"/>
          <c:order val="3"/>
          <c:tx>
            <c:v>Adult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'2.2'!$A$13:$A$32</c15:sqref>
                  </c15:fullRef>
                </c:ext>
              </c:extLst>
              <c:f>'2.2'!$A$13:$A$19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'2.2'!$AC$13:$AC$32</c15:sqref>
                  </c15:fullRef>
                </c:ext>
              </c:extLst>
              <c:f>'2.2'!$AC$13:$AC$19</c:f>
              <c:numCache>
                <c:formatCode>General</c:formatCode>
                <c:ptCount val="7"/>
                <c:pt idx="0">
                  <c:v>3997</c:v>
                </c:pt>
                <c:pt idx="1">
                  <c:v>4510</c:v>
                </c:pt>
                <c:pt idx="2">
                  <c:v>4136</c:v>
                </c:pt>
                <c:pt idx="3">
                  <c:v>3960</c:v>
                </c:pt>
                <c:pt idx="4">
                  <c:v>4053</c:v>
                </c:pt>
                <c:pt idx="5">
                  <c:v>4044</c:v>
                </c:pt>
                <c:pt idx="6">
                  <c:v>3979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10-4E38-B49C-5D947FEB6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23452447"/>
        <c:axId val="1423450527"/>
      </c:barChart>
      <c:catAx>
        <c:axId val="1423452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47573262389501125"/>
              <c:y val="0.94683651420339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450527"/>
        <c:crosses val="autoZero"/>
        <c:auto val="1"/>
        <c:lblAlgn val="ctr"/>
        <c:lblOffset val="100"/>
        <c:tickMarkSkip val="2"/>
        <c:noMultiLvlLbl val="0"/>
      </c:catAx>
      <c:valAx>
        <c:axId val="142345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Population</a:t>
                </a:r>
                <a:r>
                  <a:rPr lang="en-US" baseline="0"/>
                  <a:t> count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452447"/>
        <c:crossesAt val="1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1351148275137595"/>
          <c:y val="0.33335629921063287"/>
          <c:w val="7.8337135172165326E-2"/>
          <c:h val="0.285327260755968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4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33</xdr:row>
      <xdr:rowOff>23811</xdr:rowOff>
    </xdr:from>
    <xdr:to>
      <xdr:col>6</xdr:col>
      <xdr:colOff>619125</xdr:colOff>
      <xdr:row>54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EC2393-BA8D-7809-0F23-D5E0BF577F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935242</xdr:colOff>
      <xdr:row>54</xdr:row>
      <xdr:rowOff>184993</xdr:rowOff>
    </xdr:from>
    <xdr:to>
      <xdr:col>13</xdr:col>
      <xdr:colOff>330405</xdr:colOff>
      <xdr:row>76</xdr:row>
      <xdr:rowOff>104032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47D02C-9B9F-EC3A-2CD6-B964D6275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426812</xdr:colOff>
      <xdr:row>55</xdr:row>
      <xdr:rowOff>907</xdr:rowOff>
    </xdr:from>
    <xdr:to>
      <xdr:col>19</xdr:col>
      <xdr:colOff>412525</xdr:colOff>
      <xdr:row>76</xdr:row>
      <xdr:rowOff>110446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0865A4D-5E75-4E0F-874E-CA632E0F3D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796017</xdr:colOff>
      <xdr:row>32</xdr:row>
      <xdr:rowOff>182335</xdr:rowOff>
    </xdr:from>
    <xdr:to>
      <xdr:col>13</xdr:col>
      <xdr:colOff>324530</xdr:colOff>
      <xdr:row>54</xdr:row>
      <xdr:rowOff>101374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7774EDA-D9A0-437F-966E-938DADD5E3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419553</xdr:colOff>
      <xdr:row>32</xdr:row>
      <xdr:rowOff>170088</xdr:rowOff>
    </xdr:from>
    <xdr:to>
      <xdr:col>19</xdr:col>
      <xdr:colOff>433841</xdr:colOff>
      <xdr:row>54</xdr:row>
      <xdr:rowOff>89127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7DA438D-29BC-4CD2-8F22-3384B0E781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33</xdr:row>
      <xdr:rowOff>23811</xdr:rowOff>
    </xdr:from>
    <xdr:to>
      <xdr:col>6</xdr:col>
      <xdr:colOff>619125</xdr:colOff>
      <xdr:row>54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0073DE-BF12-461C-BB99-AB0F0B92EC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870858</xdr:colOff>
      <xdr:row>61</xdr:row>
      <xdr:rowOff>54429</xdr:rowOff>
    </xdr:from>
    <xdr:to>
      <xdr:col>11</xdr:col>
      <xdr:colOff>258537</xdr:colOff>
      <xdr:row>76</xdr:row>
      <xdr:rowOff>37874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6CD28B-7E34-4F76-BFCD-0337FAA270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644072</xdr:colOff>
      <xdr:row>61</xdr:row>
      <xdr:rowOff>122464</xdr:rowOff>
    </xdr:from>
    <xdr:to>
      <xdr:col>15</xdr:col>
      <xdr:colOff>884465</xdr:colOff>
      <xdr:row>76</xdr:row>
      <xdr:rowOff>34700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182F25E-53E2-4411-8671-AEB2E1190F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499836</xdr:colOff>
      <xdr:row>33</xdr:row>
      <xdr:rowOff>88219</xdr:rowOff>
    </xdr:from>
    <xdr:to>
      <xdr:col>25</xdr:col>
      <xdr:colOff>95250</xdr:colOff>
      <xdr:row>46</xdr:row>
      <xdr:rowOff>140607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D4E57C5-C9F4-4200-EAB3-57EFAF24EEFD}"/>
            </a:ext>
          </a:extLst>
        </xdr:cNvPr>
        <xdr:cNvSpPr txBox="1"/>
      </xdr:nvSpPr>
      <xdr:spPr>
        <a:xfrm>
          <a:off x="19209657" y="6374719"/>
          <a:ext cx="7392307" cy="25288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1.29.26</a:t>
          </a:r>
          <a:r>
            <a:rPr lang="en-US" sz="1100" baseline="0"/>
            <a:t>: </a:t>
          </a:r>
        </a:p>
        <a:p>
          <a:r>
            <a:rPr lang="en-US" sz="1100" baseline="0"/>
            <a:t>Diving harvest into age classes: percentage from NDA Report: </a:t>
          </a:r>
        </a:p>
        <a:p>
          <a:endParaRPr lang="en-US" sz="1100" baseline="0"/>
        </a:p>
        <a:p>
          <a:r>
            <a:rPr lang="en-US" sz="1100" baseline="0"/>
            <a:t>https://deerassociation.com/wp-content/uploads/2026/01/DR2026.pdf </a:t>
          </a:r>
        </a:p>
        <a:p>
          <a:r>
            <a:rPr lang="en-US" sz="1100" baseline="0"/>
            <a:t>- Where are they getting this data from ??</a:t>
          </a:r>
        </a:p>
        <a:p>
          <a:endParaRPr lang="en-US" sz="1100" baseline="0"/>
        </a:p>
        <a:p>
          <a:r>
            <a:rPr lang="en-US" sz="1100" baseline="0"/>
            <a:t>* Statewide estimates</a:t>
          </a:r>
        </a:p>
        <a:p>
          <a:endParaRPr lang="en-US" sz="1100" baseline="0"/>
        </a:p>
        <a:p>
          <a:r>
            <a:rPr lang="en-US" sz="1100" b="1" baseline="0"/>
            <a:t>Post Harvest Density mean statewide = 9.8</a:t>
          </a:r>
        </a:p>
        <a:p>
          <a:r>
            <a:rPr lang="en-US" sz="1100" b="1" baseline="0"/>
            <a:t>* </a:t>
          </a:r>
          <a:r>
            <a:rPr lang="en-US" sz="1100" b="1" i="1" baseline="0"/>
            <a:t>"</a:t>
          </a:r>
          <a:r>
            <a:rPr lang="en-US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Rapid digitization to reclaim thematic maps of white-tailed deer density from 1982 and 2003 in the conterminous US"</a:t>
          </a:r>
          <a:endParaRPr lang="en-US" sz="1100" b="1" i="1" baseline="0"/>
        </a:p>
        <a:p>
          <a:endParaRPr lang="en-US" sz="1100" baseline="0"/>
        </a:p>
      </xdr:txBody>
    </xdr:sp>
    <xdr:clientData/>
  </xdr:twoCellAnchor>
  <xdr:twoCellAnchor>
    <xdr:from>
      <xdr:col>6</xdr:col>
      <xdr:colOff>925285</xdr:colOff>
      <xdr:row>33</xdr:row>
      <xdr:rowOff>27214</xdr:rowOff>
    </xdr:from>
    <xdr:to>
      <xdr:col>15</xdr:col>
      <xdr:colOff>966107</xdr:colOff>
      <xdr:row>59</xdr:row>
      <xdr:rowOff>81643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EF1DD4B-BBFA-4389-B345-ADC33BE103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33</xdr:row>
      <xdr:rowOff>23811</xdr:rowOff>
    </xdr:from>
    <xdr:to>
      <xdr:col>6</xdr:col>
      <xdr:colOff>619125</xdr:colOff>
      <xdr:row>54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181E96-6B07-472C-9FDB-EDC2B6E0D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870858</xdr:colOff>
      <xdr:row>61</xdr:row>
      <xdr:rowOff>54429</xdr:rowOff>
    </xdr:from>
    <xdr:to>
      <xdr:col>11</xdr:col>
      <xdr:colOff>258537</xdr:colOff>
      <xdr:row>76</xdr:row>
      <xdr:rowOff>37874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510F26-9855-4357-B709-2E23284146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644072</xdr:colOff>
      <xdr:row>61</xdr:row>
      <xdr:rowOff>122464</xdr:rowOff>
    </xdr:from>
    <xdr:to>
      <xdr:col>15</xdr:col>
      <xdr:colOff>884465</xdr:colOff>
      <xdr:row>76</xdr:row>
      <xdr:rowOff>34700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8DDC29-2899-4D4C-A8A9-D89674542F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499836</xdr:colOff>
      <xdr:row>33</xdr:row>
      <xdr:rowOff>88219</xdr:rowOff>
    </xdr:from>
    <xdr:to>
      <xdr:col>25</xdr:col>
      <xdr:colOff>95250</xdr:colOff>
      <xdr:row>46</xdr:row>
      <xdr:rowOff>140607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02DE8EC-8E5D-4498-BCD3-D48A37CE2DB5}"/>
            </a:ext>
          </a:extLst>
        </xdr:cNvPr>
        <xdr:cNvSpPr txBox="1"/>
      </xdr:nvSpPr>
      <xdr:spPr>
        <a:xfrm>
          <a:off x="19197411" y="6374719"/>
          <a:ext cx="7634514" cy="25288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1.29.26</a:t>
          </a:r>
          <a:r>
            <a:rPr lang="en-US" sz="1100" baseline="0"/>
            <a:t>: </a:t>
          </a:r>
        </a:p>
        <a:p>
          <a:r>
            <a:rPr lang="en-US" sz="1100" baseline="0"/>
            <a:t>Diving harvest into age classes: percentage from NDA Report: </a:t>
          </a:r>
        </a:p>
        <a:p>
          <a:endParaRPr lang="en-US" sz="1100" baseline="0"/>
        </a:p>
        <a:p>
          <a:r>
            <a:rPr lang="en-US" sz="1100" baseline="0"/>
            <a:t>https://deerassociation.com/wp-content/uploads/2026/01/DR2026.pdf </a:t>
          </a:r>
        </a:p>
        <a:p>
          <a:r>
            <a:rPr lang="en-US" sz="1100" baseline="0"/>
            <a:t>- Where are they getting this data from ??</a:t>
          </a:r>
        </a:p>
        <a:p>
          <a:endParaRPr lang="en-US" sz="1100" baseline="0"/>
        </a:p>
        <a:p>
          <a:r>
            <a:rPr lang="en-US" sz="1100" baseline="0"/>
            <a:t>* Statewide estimates</a:t>
          </a:r>
        </a:p>
        <a:p>
          <a:endParaRPr lang="en-US" sz="1100" baseline="0"/>
        </a:p>
        <a:p>
          <a:r>
            <a:rPr lang="en-US" sz="1100" b="1" baseline="0"/>
            <a:t>Post Harvest Density mean statewide = 9.8</a:t>
          </a:r>
        </a:p>
        <a:p>
          <a:r>
            <a:rPr lang="en-US" sz="1100" b="1" baseline="0"/>
            <a:t>* </a:t>
          </a:r>
          <a:r>
            <a:rPr lang="en-US" sz="1100" b="1" i="1" baseline="0"/>
            <a:t>"</a:t>
          </a:r>
          <a:r>
            <a:rPr lang="en-US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Rapid digitization to reclaim thematic maps of white-tailed deer density from 1982 and 2003 in the conterminous US"</a:t>
          </a:r>
          <a:endParaRPr lang="en-US" sz="1100" b="1" i="1" baseline="0"/>
        </a:p>
        <a:p>
          <a:endParaRPr lang="en-US" sz="1100" baseline="0"/>
        </a:p>
      </xdr:txBody>
    </xdr:sp>
    <xdr:clientData/>
  </xdr:twoCellAnchor>
  <xdr:twoCellAnchor>
    <xdr:from>
      <xdr:col>6</xdr:col>
      <xdr:colOff>925285</xdr:colOff>
      <xdr:row>33</xdr:row>
      <xdr:rowOff>27214</xdr:rowOff>
    </xdr:from>
    <xdr:to>
      <xdr:col>15</xdr:col>
      <xdr:colOff>966107</xdr:colOff>
      <xdr:row>59</xdr:row>
      <xdr:rowOff>81643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E8838CF-50AA-401B-8F8B-EA75AF8E67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36</xdr:row>
      <xdr:rowOff>23811</xdr:rowOff>
    </xdr:from>
    <xdr:to>
      <xdr:col>6</xdr:col>
      <xdr:colOff>523875</xdr:colOff>
      <xdr:row>57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9897B6-81B3-49A4-944E-09554A125A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857251</xdr:colOff>
      <xdr:row>65</xdr:row>
      <xdr:rowOff>54429</xdr:rowOff>
    </xdr:from>
    <xdr:to>
      <xdr:col>11</xdr:col>
      <xdr:colOff>244930</xdr:colOff>
      <xdr:row>80</xdr:row>
      <xdr:rowOff>37874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B8219F-65C0-472C-807E-30F5224F45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630465</xdr:colOff>
      <xdr:row>65</xdr:row>
      <xdr:rowOff>108857</xdr:rowOff>
    </xdr:from>
    <xdr:to>
      <xdr:col>15</xdr:col>
      <xdr:colOff>870858</xdr:colOff>
      <xdr:row>80</xdr:row>
      <xdr:rowOff>21093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43DC65-E2AE-49C2-BE6A-08C74F49CD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350157</xdr:colOff>
      <xdr:row>45</xdr:row>
      <xdr:rowOff>61004</xdr:rowOff>
    </xdr:from>
    <xdr:to>
      <xdr:col>26</xdr:col>
      <xdr:colOff>517072</xdr:colOff>
      <xdr:row>58</xdr:row>
      <xdr:rowOff>113392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98035DD-6049-477C-A219-7E0F0AFEB2F3}"/>
            </a:ext>
          </a:extLst>
        </xdr:cNvPr>
        <xdr:cNvSpPr txBox="1"/>
      </xdr:nvSpPr>
      <xdr:spPr>
        <a:xfrm>
          <a:off x="20243800" y="8633504"/>
          <a:ext cx="7650843" cy="25288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1.29.26</a:t>
          </a:r>
          <a:r>
            <a:rPr lang="en-US" sz="1100" baseline="0"/>
            <a:t>: </a:t>
          </a:r>
        </a:p>
        <a:p>
          <a:r>
            <a:rPr lang="en-US" sz="1100" baseline="0"/>
            <a:t>Diving harvest into age classes: percentage from NDA Report: </a:t>
          </a:r>
        </a:p>
        <a:p>
          <a:endParaRPr lang="en-US" sz="1100" baseline="0"/>
        </a:p>
        <a:p>
          <a:r>
            <a:rPr lang="en-US" sz="1100" baseline="0"/>
            <a:t>https://deerassociation.com/wp-content/uploads/2026/01/DR2026.pdf </a:t>
          </a:r>
        </a:p>
        <a:p>
          <a:r>
            <a:rPr lang="en-US" sz="1100" baseline="0"/>
            <a:t>- Where are they getting this data from ??</a:t>
          </a:r>
        </a:p>
        <a:p>
          <a:endParaRPr lang="en-US" sz="1100" baseline="0"/>
        </a:p>
        <a:p>
          <a:r>
            <a:rPr lang="en-US" sz="1100" baseline="0"/>
            <a:t>* Statewide estimates</a:t>
          </a:r>
        </a:p>
        <a:p>
          <a:endParaRPr lang="en-US" sz="1100" baseline="0"/>
        </a:p>
        <a:p>
          <a:r>
            <a:rPr lang="en-US" sz="1100" b="1" baseline="0"/>
            <a:t>Post Harvest Density mean statewide = 9.8 - 2003</a:t>
          </a:r>
        </a:p>
        <a:p>
          <a:r>
            <a:rPr lang="en-US" sz="1100" b="1" baseline="0"/>
            <a:t>* </a:t>
          </a:r>
          <a:r>
            <a:rPr lang="en-US" sz="1100" b="1" i="1" baseline="0"/>
            <a:t>"</a:t>
          </a:r>
          <a:r>
            <a:rPr lang="en-US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Rapid digitization to reclaim thematic maps of white-tailed deer density from 1982 and 2003 in the conterminous US"</a:t>
          </a:r>
          <a:endParaRPr lang="en-US" sz="1100" b="1" i="1" baseline="0"/>
        </a:p>
        <a:p>
          <a:endParaRPr lang="en-US" sz="1100" baseline="0"/>
        </a:p>
      </xdr:txBody>
    </xdr:sp>
    <xdr:clientData/>
  </xdr:twoCellAnchor>
  <xdr:twoCellAnchor>
    <xdr:from>
      <xdr:col>6</xdr:col>
      <xdr:colOff>938892</xdr:colOff>
      <xdr:row>37</xdr:row>
      <xdr:rowOff>0</xdr:rowOff>
    </xdr:from>
    <xdr:to>
      <xdr:col>15</xdr:col>
      <xdr:colOff>979714</xdr:colOff>
      <xdr:row>63</xdr:row>
      <xdr:rowOff>54429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750E5C3-E40A-44B7-A33F-76DB3B004A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33</xdr:row>
      <xdr:rowOff>23811</xdr:rowOff>
    </xdr:from>
    <xdr:to>
      <xdr:col>6</xdr:col>
      <xdr:colOff>619125</xdr:colOff>
      <xdr:row>54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88F3AB-B018-4400-A455-698CBAA562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870858</xdr:colOff>
      <xdr:row>61</xdr:row>
      <xdr:rowOff>54429</xdr:rowOff>
    </xdr:from>
    <xdr:to>
      <xdr:col>11</xdr:col>
      <xdr:colOff>258537</xdr:colOff>
      <xdr:row>76</xdr:row>
      <xdr:rowOff>37874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4F4996-6A31-4A90-ADAA-1D424D2266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644072</xdr:colOff>
      <xdr:row>61</xdr:row>
      <xdr:rowOff>122464</xdr:rowOff>
    </xdr:from>
    <xdr:to>
      <xdr:col>15</xdr:col>
      <xdr:colOff>884465</xdr:colOff>
      <xdr:row>76</xdr:row>
      <xdr:rowOff>34700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52C473-F259-461F-97FA-8137226749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499836</xdr:colOff>
      <xdr:row>33</xdr:row>
      <xdr:rowOff>88219</xdr:rowOff>
    </xdr:from>
    <xdr:to>
      <xdr:col>25</xdr:col>
      <xdr:colOff>95250</xdr:colOff>
      <xdr:row>46</xdr:row>
      <xdr:rowOff>140607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7BF03BE-8A52-4C1C-A064-A9B558F0AA82}"/>
            </a:ext>
          </a:extLst>
        </xdr:cNvPr>
        <xdr:cNvSpPr txBox="1"/>
      </xdr:nvSpPr>
      <xdr:spPr>
        <a:xfrm>
          <a:off x="19197411" y="6374719"/>
          <a:ext cx="7634514" cy="25288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1.30.26</a:t>
          </a:r>
          <a:r>
            <a:rPr lang="en-US" sz="1100" baseline="0"/>
            <a:t>: </a:t>
          </a:r>
        </a:p>
        <a:p>
          <a:r>
            <a:rPr lang="en-US" sz="1100" baseline="0"/>
            <a:t>- Adjusted Harvest numbers to reflect true harvest value - From Game check</a:t>
          </a:r>
        </a:p>
        <a:p>
          <a:endParaRPr lang="en-US" sz="1100" baseline="0"/>
        </a:p>
        <a:p>
          <a:r>
            <a:rPr lang="en-US" sz="1100" baseline="0"/>
            <a:t>* SupplementalCode</a:t>
          </a:r>
        </a:p>
        <a:p>
          <a:endParaRPr lang="en-US" sz="1100" baseline="0"/>
        </a:p>
        <a:p>
          <a:endParaRPr lang="en-US" sz="1100" baseline="0"/>
        </a:p>
      </xdr:txBody>
    </xdr:sp>
    <xdr:clientData/>
  </xdr:twoCellAnchor>
  <xdr:twoCellAnchor>
    <xdr:from>
      <xdr:col>6</xdr:col>
      <xdr:colOff>925285</xdr:colOff>
      <xdr:row>33</xdr:row>
      <xdr:rowOff>27214</xdr:rowOff>
    </xdr:from>
    <xdr:to>
      <xdr:col>15</xdr:col>
      <xdr:colOff>966107</xdr:colOff>
      <xdr:row>59</xdr:row>
      <xdr:rowOff>81643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04EF0C-3356-4D84-BC57-F7297F4838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33</xdr:row>
      <xdr:rowOff>23811</xdr:rowOff>
    </xdr:from>
    <xdr:to>
      <xdr:col>6</xdr:col>
      <xdr:colOff>619125</xdr:colOff>
      <xdr:row>54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A3F4B8-86D9-42C3-BFE2-C0A60D87E0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870858</xdr:colOff>
      <xdr:row>61</xdr:row>
      <xdr:rowOff>54429</xdr:rowOff>
    </xdr:from>
    <xdr:to>
      <xdr:col>11</xdr:col>
      <xdr:colOff>258537</xdr:colOff>
      <xdr:row>76</xdr:row>
      <xdr:rowOff>37874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06CC95-3E9E-4261-8441-7BAD24EF40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644072</xdr:colOff>
      <xdr:row>61</xdr:row>
      <xdr:rowOff>122464</xdr:rowOff>
    </xdr:from>
    <xdr:to>
      <xdr:col>15</xdr:col>
      <xdr:colOff>884465</xdr:colOff>
      <xdr:row>76</xdr:row>
      <xdr:rowOff>34700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0BA5C9-98B1-4CAE-A7BE-B0B04B67C1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499836</xdr:colOff>
      <xdr:row>33</xdr:row>
      <xdr:rowOff>88219</xdr:rowOff>
    </xdr:from>
    <xdr:to>
      <xdr:col>25</xdr:col>
      <xdr:colOff>95250</xdr:colOff>
      <xdr:row>46</xdr:row>
      <xdr:rowOff>140607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E4EEA77-F60A-4412-9E16-A326BED86659}"/>
            </a:ext>
          </a:extLst>
        </xdr:cNvPr>
        <xdr:cNvSpPr txBox="1"/>
      </xdr:nvSpPr>
      <xdr:spPr>
        <a:xfrm>
          <a:off x="19197411" y="6374719"/>
          <a:ext cx="7634514" cy="25288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2.2.26</a:t>
          </a:r>
          <a:r>
            <a:rPr lang="en-US" sz="1100" baseline="0"/>
            <a:t>: </a:t>
          </a:r>
        </a:p>
        <a:p>
          <a:endParaRPr lang="en-US" sz="1100" baseline="0"/>
        </a:p>
        <a:p>
          <a:endParaRPr lang="en-US" sz="1100" baseline="0"/>
        </a:p>
      </xdr:txBody>
    </xdr:sp>
    <xdr:clientData/>
  </xdr:twoCellAnchor>
  <xdr:twoCellAnchor>
    <xdr:from>
      <xdr:col>6</xdr:col>
      <xdr:colOff>925285</xdr:colOff>
      <xdr:row>33</xdr:row>
      <xdr:rowOff>27214</xdr:rowOff>
    </xdr:from>
    <xdr:to>
      <xdr:col>15</xdr:col>
      <xdr:colOff>966107</xdr:colOff>
      <xdr:row>59</xdr:row>
      <xdr:rowOff>81643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E1C35DA-44B8-4BDF-AADC-58320B674E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unter Holcomb" id="{6F37EF71-3BBC-4472-8FB3-BE8F9BDE7203}" userId="S::huh0001@auburn.edu::79061d26-7ddd-43d1-b52d-19ef145f0ca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9" dT="2026-01-28T18:47:32.31" personId="{6F37EF71-3BBC-4472-8FB3-BE8F9BDE7203}" id="{9FF7E6E5-828F-4798-9E5D-78CC687DCA6E}">
    <text>Model does not account for population stability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59" dT="2026-01-28T18:47:32.31" personId="{6F37EF71-3BBC-4472-8FB3-BE8F9BDE7203}" id="{FF1C7E49-38CB-4A1B-96F0-ECA39CF44EEA}">
    <text>Model does not account for population stability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59" dT="2026-01-28T18:47:32.31" personId="{6F37EF71-3BBC-4472-8FB3-BE8F9BDE7203}" id="{53B76073-B0C8-48F8-95D3-2E7D2F203A2B}">
    <text>Model does not account for population stability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59" dT="2026-01-28T18:47:32.31" personId="{6F37EF71-3BBC-4472-8FB3-BE8F9BDE7203}" id="{9C0617AE-90B0-48D7-B3DE-A8636E4086F9}">
    <text>Model does not account for population stability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59" dT="2026-01-28T18:47:32.31" personId="{6F37EF71-3BBC-4472-8FB3-BE8F9BDE7203}" id="{52C79E9C-6664-4B9F-9EA9-49DCF501D2C4}">
    <text>Model does not account for population stability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A59" dT="2026-01-28T18:47:32.31" personId="{6F37EF71-3BBC-4472-8FB3-BE8F9BDE7203}" id="{CC7575BC-9F2D-47E2-AC98-F52C50EFE83C}">
    <text>Model does not account for population stability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hyperlink" Target="https://wildlife.onlinelibrary.wiley.com/doi/pdfdirect/10.1002/wsb.1391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wildlife.onlinelibrary.wiley.com/doi/pdfdirect/10.1002/wsb.1391" TargetMode="External"/><Relationship Id="rId1" Type="http://schemas.openxmlformats.org/officeDocument/2006/relationships/hyperlink" Target="https://wildlife.onlinelibrary.wiley.com/doi/epdf/10.2193/2008-099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2.xml"/><Relationship Id="rId3" Type="http://schemas.openxmlformats.org/officeDocument/2006/relationships/hyperlink" Target="https://wildlife.onlinelibrary.wiley.com/doi/pdfdirect/10.1002/wsb.1391" TargetMode="External"/><Relationship Id="rId7" Type="http://schemas.openxmlformats.org/officeDocument/2006/relationships/comments" Target="../comments2.xml"/><Relationship Id="rId2" Type="http://schemas.openxmlformats.org/officeDocument/2006/relationships/hyperlink" Target="https://wildlife.onlinelibrary.wiley.com/doi/pdfdirect/10.1002/wsb.1391" TargetMode="External"/><Relationship Id="rId1" Type="http://schemas.openxmlformats.org/officeDocument/2006/relationships/hyperlink" Target="https://wildlife.onlinelibrary.wiley.com/doi/epdf/10.2193/2008-099" TargetMode="External"/><Relationship Id="rId6" Type="http://schemas.openxmlformats.org/officeDocument/2006/relationships/vmlDrawing" Target="../drawings/vmlDrawing2.vm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3.xml"/><Relationship Id="rId3" Type="http://schemas.openxmlformats.org/officeDocument/2006/relationships/hyperlink" Target="https://wildlife.onlinelibrary.wiley.com/doi/pdfdirect/10.1002/wsb.1391" TargetMode="External"/><Relationship Id="rId7" Type="http://schemas.openxmlformats.org/officeDocument/2006/relationships/comments" Target="../comments3.xml"/><Relationship Id="rId2" Type="http://schemas.openxmlformats.org/officeDocument/2006/relationships/hyperlink" Target="https://wildlife.onlinelibrary.wiley.com/doi/pdfdirect/10.1002/wsb.1391" TargetMode="External"/><Relationship Id="rId1" Type="http://schemas.openxmlformats.org/officeDocument/2006/relationships/hyperlink" Target="https://wildlife.onlinelibrary.wiley.com/doi/epdf/10.2193/2008-099" TargetMode="External"/><Relationship Id="rId6" Type="http://schemas.openxmlformats.org/officeDocument/2006/relationships/vmlDrawing" Target="../drawings/vmlDrawing3.v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4.xml"/><Relationship Id="rId3" Type="http://schemas.openxmlformats.org/officeDocument/2006/relationships/hyperlink" Target="https://wildlife.onlinelibrary.wiley.com/doi/pdfdirect/10.1002/wsb.1391" TargetMode="External"/><Relationship Id="rId7" Type="http://schemas.openxmlformats.org/officeDocument/2006/relationships/comments" Target="../comments4.xml"/><Relationship Id="rId2" Type="http://schemas.openxmlformats.org/officeDocument/2006/relationships/hyperlink" Target="https://wildlife.onlinelibrary.wiley.com/doi/pdfdirect/10.1002/wsb.1391" TargetMode="External"/><Relationship Id="rId1" Type="http://schemas.openxmlformats.org/officeDocument/2006/relationships/hyperlink" Target="https://wildlife.onlinelibrary.wiley.com/doi/epdf/10.2193/2008-099" TargetMode="External"/><Relationship Id="rId6" Type="http://schemas.openxmlformats.org/officeDocument/2006/relationships/vmlDrawing" Target="../drawings/vmlDrawing4.vml"/><Relationship Id="rId5" Type="http://schemas.openxmlformats.org/officeDocument/2006/relationships/drawing" Target="../drawings/drawing4.xml"/><Relationship Id="rId4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5.xml"/><Relationship Id="rId3" Type="http://schemas.openxmlformats.org/officeDocument/2006/relationships/hyperlink" Target="https://wildlife.onlinelibrary.wiley.com/doi/pdfdirect/10.1002/wsb.1391" TargetMode="External"/><Relationship Id="rId7" Type="http://schemas.openxmlformats.org/officeDocument/2006/relationships/comments" Target="../comments5.xml"/><Relationship Id="rId2" Type="http://schemas.openxmlformats.org/officeDocument/2006/relationships/hyperlink" Target="https://wildlife.onlinelibrary.wiley.com/doi/pdfdirect/10.1002/wsb.1391" TargetMode="External"/><Relationship Id="rId1" Type="http://schemas.openxmlformats.org/officeDocument/2006/relationships/hyperlink" Target="https://wildlife.onlinelibrary.wiley.com/doi/epdf/10.2193/2008-099" TargetMode="External"/><Relationship Id="rId6" Type="http://schemas.openxmlformats.org/officeDocument/2006/relationships/vmlDrawing" Target="../drawings/vmlDrawing5.vml"/><Relationship Id="rId5" Type="http://schemas.openxmlformats.org/officeDocument/2006/relationships/drawing" Target="../drawings/drawing5.xml"/><Relationship Id="rId4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6.xml"/><Relationship Id="rId3" Type="http://schemas.openxmlformats.org/officeDocument/2006/relationships/hyperlink" Target="https://wildlife.onlinelibrary.wiley.com/doi/pdfdirect/10.1002/wsb.1391" TargetMode="External"/><Relationship Id="rId7" Type="http://schemas.openxmlformats.org/officeDocument/2006/relationships/comments" Target="../comments6.xml"/><Relationship Id="rId2" Type="http://schemas.openxmlformats.org/officeDocument/2006/relationships/hyperlink" Target="https://wildlife.onlinelibrary.wiley.com/doi/pdfdirect/10.1002/wsb.1391" TargetMode="External"/><Relationship Id="rId1" Type="http://schemas.openxmlformats.org/officeDocument/2006/relationships/hyperlink" Target="https://wildlife.onlinelibrary.wiley.com/doi/epdf/10.2193/2008-099" TargetMode="External"/><Relationship Id="rId6" Type="http://schemas.openxmlformats.org/officeDocument/2006/relationships/vmlDrawing" Target="../drawings/vmlDrawing6.vml"/><Relationship Id="rId5" Type="http://schemas.openxmlformats.org/officeDocument/2006/relationships/drawing" Target="../drawings/drawing6.xml"/><Relationship Id="rId4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2C849-FC87-472E-BF1E-DBD2F223F697}">
  <dimension ref="A1:X66"/>
  <sheetViews>
    <sheetView topLeftCell="A50" zoomScale="70" zoomScaleNormal="70" workbookViewId="0">
      <selection activeCell="B3" sqref="B3"/>
    </sheetView>
  </sheetViews>
  <sheetFormatPr defaultColWidth="9.140625" defaultRowHeight="15" x14ac:dyDescent="0.25"/>
  <cols>
    <col min="1" max="1" width="35.85546875" style="1" customWidth="1"/>
    <col min="2" max="2" width="15.85546875" style="1" customWidth="1"/>
    <col min="3" max="3" width="18.85546875" style="1" customWidth="1"/>
    <col min="4" max="4" width="20.42578125" style="1" customWidth="1"/>
    <col min="5" max="5" width="15.85546875" style="1" customWidth="1"/>
    <col min="6" max="6" width="18.5703125" style="1" customWidth="1"/>
    <col min="7" max="7" width="19" style="1" customWidth="1"/>
    <col min="8" max="8" width="13" style="1" customWidth="1"/>
    <col min="9" max="9" width="14" style="1" customWidth="1"/>
    <col min="10" max="10" width="15.42578125" style="1" customWidth="1"/>
    <col min="11" max="11" width="12.85546875" style="1" customWidth="1"/>
    <col min="12" max="12" width="15.140625" style="1" customWidth="1"/>
    <col min="13" max="13" width="16.5703125" style="1" customWidth="1"/>
    <col min="14" max="14" width="17.5703125" style="1" customWidth="1"/>
    <col min="15" max="15" width="15.85546875" style="1" customWidth="1"/>
    <col min="16" max="16" width="15.5703125" style="1" customWidth="1"/>
    <col min="17" max="17" width="17.7109375" style="1" customWidth="1"/>
    <col min="18" max="18" width="16.7109375" style="1" customWidth="1"/>
    <col min="19" max="19" width="13.140625" style="1" customWidth="1"/>
    <col min="20" max="20" width="14.7109375" style="1" customWidth="1"/>
    <col min="21" max="21" width="17.85546875" style="1" customWidth="1"/>
    <col min="22" max="16384" width="9.140625" style="1"/>
  </cols>
  <sheetData>
    <row r="1" spans="1:24" x14ac:dyDescent="0.25">
      <c r="A1" s="1" t="s">
        <v>53</v>
      </c>
      <c r="B1" s="1" t="s">
        <v>54</v>
      </c>
    </row>
    <row r="2" spans="1:24" x14ac:dyDescent="0.25">
      <c r="A2" s="1" t="s">
        <v>52</v>
      </c>
      <c r="B2" s="1">
        <v>2024</v>
      </c>
      <c r="K2" s="1" t="s">
        <v>0</v>
      </c>
      <c r="L2" s="1" t="s">
        <v>1</v>
      </c>
      <c r="M2" s="1" t="s">
        <v>2</v>
      </c>
      <c r="O2" s="1" t="s">
        <v>3</v>
      </c>
      <c r="P2" s="1" t="s">
        <v>4</v>
      </c>
    </row>
    <row r="3" spans="1:24" x14ac:dyDescent="0.25">
      <c r="A3" s="2" t="s">
        <v>5</v>
      </c>
      <c r="B3" s="12">
        <f>(B60)</f>
        <v>21443.558079830185</v>
      </c>
      <c r="J3" s="2" t="s">
        <v>6</v>
      </c>
      <c r="K3" s="3">
        <v>0.115</v>
      </c>
      <c r="L3" s="4">
        <f>LN(1-K3)</f>
        <v>-0.12216763397420753</v>
      </c>
      <c r="M3" s="4">
        <f>1-EXP(L3*0.5)</f>
        <v>5.9255613888661074E-2</v>
      </c>
      <c r="O3" s="3">
        <v>2602</v>
      </c>
      <c r="P3" s="4">
        <f>ROUND((O3/F5),2)</f>
        <v>0.67</v>
      </c>
    </row>
    <row r="4" spans="1:24" x14ac:dyDescent="0.25">
      <c r="A4" s="2" t="s">
        <v>7</v>
      </c>
      <c r="B4" s="13">
        <v>0.6</v>
      </c>
      <c r="C4" s="1" t="s">
        <v>8</v>
      </c>
      <c r="F4" s="1" t="s">
        <v>9</v>
      </c>
      <c r="G4" s="1" t="s">
        <v>10</v>
      </c>
      <c r="J4" s="2" t="s">
        <v>11</v>
      </c>
      <c r="K4" s="3">
        <v>0.22</v>
      </c>
      <c r="L4" s="4">
        <f t="shared" ref="L4:L9" si="0">LN(1-K4)</f>
        <v>-0.24846135929849961</v>
      </c>
      <c r="M4" s="4">
        <f t="shared" ref="M4:M9" si="1">1-EXP(L4*0.5)</f>
        <v>0.11682391336721532</v>
      </c>
      <c r="O4" s="3">
        <v>1706</v>
      </c>
      <c r="P4" s="4">
        <f>ROUND((O4/G5),2)</f>
        <v>0.28999999999999998</v>
      </c>
    </row>
    <row r="5" spans="1:24" x14ac:dyDescent="0.25">
      <c r="A5" s="2" t="s">
        <v>12</v>
      </c>
      <c r="B5" s="13">
        <v>0.45</v>
      </c>
      <c r="D5" s="5" t="s">
        <v>13</v>
      </c>
      <c r="E5" s="4">
        <f>ROUND((B3*B5),0)</f>
        <v>9650</v>
      </c>
      <c r="F5" s="4">
        <f>ROUND(E5*(1-$B$4),0)</f>
        <v>3860</v>
      </c>
      <c r="G5" s="4">
        <f>ROUND((E5*$B$4),0)</f>
        <v>5790</v>
      </c>
      <c r="J5" s="2" t="s">
        <v>14</v>
      </c>
      <c r="K5" s="3">
        <v>0.115</v>
      </c>
      <c r="L5" s="4">
        <f t="shared" si="0"/>
        <v>-0.12216763397420753</v>
      </c>
      <c r="M5" s="4">
        <f t="shared" si="1"/>
        <v>5.9255613888661074E-2</v>
      </c>
      <c r="O5" s="3">
        <v>0</v>
      </c>
      <c r="P5" s="4">
        <f>ROUND((O5/F6),2)</f>
        <v>0</v>
      </c>
    </row>
    <row r="6" spans="1:24" x14ac:dyDescent="0.25">
      <c r="A6" s="2" t="s">
        <v>15</v>
      </c>
      <c r="B6" s="13">
        <v>0.3</v>
      </c>
      <c r="D6" s="5" t="s">
        <v>16</v>
      </c>
      <c r="E6" s="4">
        <f>ROUND((B3*B6),0)</f>
        <v>6433</v>
      </c>
      <c r="F6" s="4">
        <f t="shared" ref="F6:F7" si="2">ROUND(E6*(1-$B$4),0)</f>
        <v>2573</v>
      </c>
      <c r="G6" s="4">
        <f t="shared" ref="G6:G7" si="3">ROUND((E6*$B$4),0)</f>
        <v>3860</v>
      </c>
      <c r="J6" s="2" t="s">
        <v>17</v>
      </c>
      <c r="K6" s="3">
        <v>0</v>
      </c>
      <c r="L6" s="4">
        <f t="shared" si="0"/>
        <v>0</v>
      </c>
      <c r="M6" s="4">
        <f t="shared" si="1"/>
        <v>0</v>
      </c>
      <c r="O6" s="3">
        <v>0</v>
      </c>
      <c r="P6" s="4">
        <f>ROUND((O6/G6),2)</f>
        <v>0</v>
      </c>
    </row>
    <row r="7" spans="1:24" x14ac:dyDescent="0.25">
      <c r="A7" s="6" t="s">
        <v>18</v>
      </c>
      <c r="B7" s="7">
        <f>(1 - (B5 + B6))</f>
        <v>0.25</v>
      </c>
      <c r="D7" s="5" t="s">
        <v>19</v>
      </c>
      <c r="E7" s="4">
        <f>ROUND((B3*B7),0)</f>
        <v>5361</v>
      </c>
      <c r="F7" s="4">
        <f t="shared" si="2"/>
        <v>2144</v>
      </c>
      <c r="G7" s="4">
        <f t="shared" si="3"/>
        <v>3217</v>
      </c>
      <c r="J7" s="2" t="s">
        <v>20</v>
      </c>
      <c r="K7" s="3">
        <v>0.49</v>
      </c>
      <c r="L7" s="4">
        <f t="shared" si="0"/>
        <v>-0.67334455326376563</v>
      </c>
      <c r="M7" s="4">
        <f t="shared" si="1"/>
        <v>0.28585715714571502</v>
      </c>
      <c r="O7" s="3">
        <v>0</v>
      </c>
      <c r="P7" s="4">
        <f>ROUND((O7/F7),2)</f>
        <v>0</v>
      </c>
    </row>
    <row r="8" spans="1:24" x14ac:dyDescent="0.25">
      <c r="A8" s="2" t="s">
        <v>21</v>
      </c>
      <c r="B8" s="3">
        <v>1.6</v>
      </c>
      <c r="C8" s="1" t="s">
        <v>22</v>
      </c>
      <c r="J8" s="2" t="s">
        <v>23</v>
      </c>
      <c r="K8" s="3">
        <v>0.49</v>
      </c>
      <c r="L8" s="4">
        <f t="shared" si="0"/>
        <v>-0.67334455326376563</v>
      </c>
      <c r="M8" s="4">
        <f t="shared" si="1"/>
        <v>0.28585715714571502</v>
      </c>
      <c r="O8" s="3">
        <v>0</v>
      </c>
      <c r="P8" s="4">
        <f>ROUND((O8/G7),2)</f>
        <v>0</v>
      </c>
    </row>
    <row r="9" spans="1:24" x14ac:dyDescent="0.25">
      <c r="A9" s="2" t="s">
        <v>24</v>
      </c>
      <c r="B9" s="3">
        <v>0.2</v>
      </c>
      <c r="C9" s="1" t="s">
        <v>25</v>
      </c>
      <c r="J9" s="2" t="s">
        <v>26</v>
      </c>
      <c r="K9" s="3">
        <v>0.495</v>
      </c>
      <c r="L9" s="4">
        <f t="shared" si="0"/>
        <v>-0.68319684970677719</v>
      </c>
      <c r="M9" s="4">
        <f t="shared" si="1"/>
        <v>0.28936647982240526</v>
      </c>
      <c r="O9" s="1">
        <v>0</v>
      </c>
    </row>
    <row r="12" spans="1:24" customFormat="1" x14ac:dyDescent="0.25">
      <c r="A12" t="s">
        <v>27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 t="s">
        <v>33</v>
      </c>
      <c r="H12" t="s">
        <v>34</v>
      </c>
      <c r="I12" t="s">
        <v>35</v>
      </c>
      <c r="J12" t="s">
        <v>36</v>
      </c>
      <c r="K12" t="s">
        <v>37</v>
      </c>
      <c r="L12" t="s">
        <v>38</v>
      </c>
      <c r="M12" t="s">
        <v>39</v>
      </c>
      <c r="N12" t="s">
        <v>40</v>
      </c>
      <c r="O12" t="s">
        <v>41</v>
      </c>
      <c r="P12" t="s">
        <v>42</v>
      </c>
      <c r="Q12" t="s">
        <v>43</v>
      </c>
      <c r="R12" t="s">
        <v>44</v>
      </c>
      <c r="S12" t="s">
        <v>45</v>
      </c>
      <c r="T12" t="s">
        <v>46</v>
      </c>
      <c r="U12" t="s">
        <v>47</v>
      </c>
      <c r="V12" t="s">
        <v>48</v>
      </c>
      <c r="W12" t="s">
        <v>49</v>
      </c>
      <c r="X12" t="s">
        <v>50</v>
      </c>
    </row>
    <row r="13" spans="1:24" customFormat="1" x14ac:dyDescent="0.25">
      <c r="A13" s="8">
        <v>2024</v>
      </c>
      <c r="B13" s="8">
        <f>ROUND((F5 -(F5*P3)),0)</f>
        <v>1274</v>
      </c>
      <c r="C13" s="8">
        <f>ROUND((G5 - (G5*P4)),0)</f>
        <v>4111</v>
      </c>
      <c r="D13" s="8">
        <f>ROUND((F6 - (F6*P5)),0)</f>
        <v>2573</v>
      </c>
      <c r="E13" s="8">
        <f>ROUND((G6-(G6*P6)),0)</f>
        <v>3860</v>
      </c>
      <c r="F13" s="8">
        <f>ROUND((F7 - (F7*P7)),0)</f>
        <v>2144</v>
      </c>
      <c r="G13" s="8">
        <f>ROUND((G7 - (G7*P8)),0)</f>
        <v>3217</v>
      </c>
      <c r="H13" s="8">
        <f>(B13+C13+D13+E13+F13+G13)</f>
        <v>17179</v>
      </c>
      <c r="I13" s="8">
        <f t="shared" ref="I13:I32" si="4">ROUND((B13-(B13*$M$3)),0)</f>
        <v>1199</v>
      </c>
      <c r="J13" s="8">
        <f>ROUND((C13-(C13*$M$4)),0)</f>
        <v>3631</v>
      </c>
      <c r="K13" s="8">
        <f>ROUND((D13-(D13*$M$5)),0)</f>
        <v>2421</v>
      </c>
      <c r="L13" s="8">
        <f>ROUND((E13-(E13*$M$6)),0)</f>
        <v>3860</v>
      </c>
      <c r="M13" s="8">
        <f>ROUND((F13-(F13*$M$7)),0)</f>
        <v>1531</v>
      </c>
      <c r="N13" s="8">
        <f>ROUND((G13-(G13*$M$8)),0)</f>
        <v>2297</v>
      </c>
      <c r="O13" s="8">
        <f>ROUND((((J13*$B$8) + (L13*$B$9))/2),0)</f>
        <v>3291</v>
      </c>
      <c r="P13" s="8">
        <f>O13</f>
        <v>3291</v>
      </c>
      <c r="Q13" s="8">
        <f t="shared" ref="Q13:Q32" si="5">ROUND(((I13+K13) - ((I13+K13)*$M$3)),0)</f>
        <v>3405</v>
      </c>
      <c r="R13" s="8">
        <f>ROUND(((J13+L13) - ((J13+L13)*$M$4)),0)</f>
        <v>6616</v>
      </c>
      <c r="S13" s="8">
        <f>ROUND((M13-(M13*$M$5)),0)</f>
        <v>1440</v>
      </c>
      <c r="T13" s="8">
        <f>ROUND((N13-(N13*$M$6)),0)</f>
        <v>2297</v>
      </c>
      <c r="U13" s="8">
        <f>ROUND((O13-(O13*$M$9)),0)</f>
        <v>2339</v>
      </c>
      <c r="V13" s="8">
        <f>ROUND((P13-(P13*$M$9)),0)</f>
        <v>2339</v>
      </c>
      <c r="W13" s="8">
        <f>Q13+R13+S13+T13+U13+V13</f>
        <v>18436</v>
      </c>
      <c r="X13" s="8" t="s">
        <v>51</v>
      </c>
    </row>
    <row r="14" spans="1:24" customFormat="1" x14ac:dyDescent="0.25">
      <c r="A14" s="8">
        <v>2025</v>
      </c>
      <c r="B14" s="9">
        <f t="shared" ref="B14:B32" si="6">ROUND((Q13-(Q13*$P$3)),0)</f>
        <v>1124</v>
      </c>
      <c r="C14" s="9">
        <f>ROUND((R13-(R13*$P$4)),0)</f>
        <v>4697</v>
      </c>
      <c r="D14" s="9">
        <f>ROUND((S13-(S13*$P$5)),0)</f>
        <v>1440</v>
      </c>
      <c r="E14" s="9">
        <f>ROUND((T13-(T13*$P$6)),0)</f>
        <v>2297</v>
      </c>
      <c r="F14" s="9">
        <f>ROUND((U13-(U13*$P$7)),0)</f>
        <v>2339</v>
      </c>
      <c r="G14" s="9">
        <f>ROUND((V13-(V13*$P$8)),0)</f>
        <v>2339</v>
      </c>
      <c r="H14" s="9">
        <f>(B14+C14+D14+E14+F14+G14)</f>
        <v>14236</v>
      </c>
      <c r="I14" s="9">
        <f t="shared" si="4"/>
        <v>1057</v>
      </c>
      <c r="J14" s="9">
        <f>ROUND((C14-(C14*$M$4)),0)</f>
        <v>4148</v>
      </c>
      <c r="K14" s="9">
        <f>ROUND((D14-(D14*$M$5)),0)</f>
        <v>1355</v>
      </c>
      <c r="L14" s="9">
        <f>ROUND((E14-(E14*$M$6)),0)</f>
        <v>2297</v>
      </c>
      <c r="M14" s="9">
        <f>ROUND((F14-(F14*$M$7)),0)</f>
        <v>1670</v>
      </c>
      <c r="N14" s="9">
        <f>ROUND((G14-(G14*$M$8)),0)</f>
        <v>1670</v>
      </c>
      <c r="O14" s="9">
        <f>ROUND((((J14*$B$8) + (L14*$B$9))/2),0)</f>
        <v>3548</v>
      </c>
      <c r="P14" s="9">
        <f>O14</f>
        <v>3548</v>
      </c>
      <c r="Q14" s="9">
        <f t="shared" si="5"/>
        <v>2269</v>
      </c>
      <c r="R14" s="9">
        <f>ROUND(((J14+L14) - ((J14+L14)*$M$4)),0)</f>
        <v>5692</v>
      </c>
      <c r="S14" s="9">
        <f>ROUND((M14-(M14*$M$5)),0)</f>
        <v>1571</v>
      </c>
      <c r="T14" s="9">
        <f>ROUND((N14-(N14*$M$6)),0)</f>
        <v>1670</v>
      </c>
      <c r="U14" s="9">
        <f>ROUND((O14-(O14*$M$9)),0)</f>
        <v>2521</v>
      </c>
      <c r="V14" s="9">
        <f>ROUND((P14-(P14*$M$9)),0)</f>
        <v>2521</v>
      </c>
      <c r="W14" s="9">
        <f>Q14+R14+S14+T14+U14+V14</f>
        <v>16244</v>
      </c>
      <c r="X14" s="9">
        <f>ROUND((W14/W13),2)</f>
        <v>0.88</v>
      </c>
    </row>
    <row r="15" spans="1:24" x14ac:dyDescent="0.25">
      <c r="A15" s="8">
        <v>2026</v>
      </c>
      <c r="B15" s="10">
        <f t="shared" si="6"/>
        <v>749</v>
      </c>
      <c r="C15" s="10">
        <f t="shared" ref="C15:C32" si="7">ROUND((R14-(R14*$P$4)),0)</f>
        <v>4041</v>
      </c>
      <c r="D15" s="10">
        <f t="shared" ref="D15:D32" si="8">ROUND((S14-(S14*$P$5)),0)</f>
        <v>1571</v>
      </c>
      <c r="E15" s="10">
        <f t="shared" ref="E15:E32" si="9">ROUND((T14-(T14*$P$6)),0)</f>
        <v>1670</v>
      </c>
      <c r="F15" s="10">
        <f t="shared" ref="F15:F32" si="10">ROUND((U14-(U14*$P$7)),0)</f>
        <v>2521</v>
      </c>
      <c r="G15" s="10">
        <f t="shared" ref="G15:G32" si="11">ROUND((V14-(V14*$P$8)),0)</f>
        <v>2521</v>
      </c>
      <c r="H15" s="10">
        <f t="shared" ref="H15:H32" si="12">(B15+C15+D15+E15+F15+G15)</f>
        <v>13073</v>
      </c>
      <c r="I15" s="10">
        <f t="shared" si="4"/>
        <v>705</v>
      </c>
      <c r="J15" s="10">
        <f t="shared" ref="J15:J32" si="13">ROUND((C15-(C15*$M$4)),0)</f>
        <v>3569</v>
      </c>
      <c r="K15" s="10">
        <f t="shared" ref="K15:K32" si="14">ROUND((D15-(D15*$M$5)),0)</f>
        <v>1478</v>
      </c>
      <c r="L15" s="10">
        <f t="shared" ref="L15:L32" si="15">ROUND((E15-(E15*$M$6)),0)</f>
        <v>1670</v>
      </c>
      <c r="M15" s="10">
        <f t="shared" ref="M15:M32" si="16">ROUND((F15-(F15*$M$7)),0)</f>
        <v>1800</v>
      </c>
      <c r="N15" s="10">
        <f t="shared" ref="N15:N32" si="17">ROUND((G15-(G15*$M$8)),0)</f>
        <v>1800</v>
      </c>
      <c r="O15" s="10">
        <f t="shared" ref="O15:O32" si="18">ROUND((((J15*$B$8) + (L15*$B$9))/2),0)</f>
        <v>3022</v>
      </c>
      <c r="P15" s="10">
        <f t="shared" ref="P15:P32" si="19">O15</f>
        <v>3022</v>
      </c>
      <c r="Q15" s="10">
        <f t="shared" si="5"/>
        <v>2054</v>
      </c>
      <c r="R15" s="10">
        <f t="shared" ref="R15:R32" si="20">ROUND(((J15+L15) - ((J15+L15)*$M$4)),0)</f>
        <v>4627</v>
      </c>
      <c r="S15" s="10">
        <f t="shared" ref="S15:S32" si="21">ROUND((M15-(M15*$M$5)),0)</f>
        <v>1693</v>
      </c>
      <c r="T15" s="10">
        <f t="shared" ref="T15:T32" si="22">ROUND((N15-(N15*$M$6)),0)</f>
        <v>1800</v>
      </c>
      <c r="U15" s="10">
        <f t="shared" ref="U15:V32" si="23">ROUND((O15-(O15*$M$9)),0)</f>
        <v>2148</v>
      </c>
      <c r="V15" s="10">
        <f t="shared" si="23"/>
        <v>2148</v>
      </c>
      <c r="W15" s="10">
        <f t="shared" ref="W15:W32" si="24">Q15+R15+S15+T15+U15+V15</f>
        <v>14470</v>
      </c>
      <c r="X15" s="10">
        <f t="shared" ref="X15:X32" si="25">ROUND((W15/W14),2)</f>
        <v>0.89</v>
      </c>
    </row>
    <row r="16" spans="1:24" x14ac:dyDescent="0.25">
      <c r="A16" s="8">
        <v>2027</v>
      </c>
      <c r="B16" s="10">
        <f t="shared" si="6"/>
        <v>678</v>
      </c>
      <c r="C16" s="10">
        <f t="shared" si="7"/>
        <v>3285</v>
      </c>
      <c r="D16" s="10">
        <f t="shared" si="8"/>
        <v>1693</v>
      </c>
      <c r="E16" s="10">
        <f t="shared" si="9"/>
        <v>1800</v>
      </c>
      <c r="F16" s="10">
        <f t="shared" si="10"/>
        <v>2148</v>
      </c>
      <c r="G16" s="10">
        <f t="shared" si="11"/>
        <v>2148</v>
      </c>
      <c r="H16" s="10">
        <f t="shared" si="12"/>
        <v>11752</v>
      </c>
      <c r="I16" s="10">
        <f t="shared" si="4"/>
        <v>638</v>
      </c>
      <c r="J16" s="10">
        <f t="shared" si="13"/>
        <v>2901</v>
      </c>
      <c r="K16" s="10">
        <f t="shared" si="14"/>
        <v>1593</v>
      </c>
      <c r="L16" s="10">
        <f t="shared" si="15"/>
        <v>1800</v>
      </c>
      <c r="M16" s="10">
        <f t="shared" si="16"/>
        <v>1534</v>
      </c>
      <c r="N16" s="10">
        <f t="shared" si="17"/>
        <v>1534</v>
      </c>
      <c r="O16" s="10">
        <f t="shared" si="18"/>
        <v>2501</v>
      </c>
      <c r="P16" s="10">
        <f t="shared" si="19"/>
        <v>2501</v>
      </c>
      <c r="Q16" s="10">
        <f t="shared" si="5"/>
        <v>2099</v>
      </c>
      <c r="R16" s="10">
        <f t="shared" si="20"/>
        <v>4152</v>
      </c>
      <c r="S16" s="10">
        <f t="shared" si="21"/>
        <v>1443</v>
      </c>
      <c r="T16" s="10">
        <f t="shared" si="22"/>
        <v>1534</v>
      </c>
      <c r="U16" s="10">
        <f t="shared" si="23"/>
        <v>1777</v>
      </c>
      <c r="V16" s="10">
        <f t="shared" si="23"/>
        <v>1777</v>
      </c>
      <c r="W16" s="10">
        <f t="shared" si="24"/>
        <v>12782</v>
      </c>
      <c r="X16" s="10">
        <f t="shared" si="25"/>
        <v>0.88</v>
      </c>
    </row>
    <row r="17" spans="1:24" x14ac:dyDescent="0.25">
      <c r="A17" s="8">
        <v>2028</v>
      </c>
      <c r="B17" s="10">
        <f t="shared" si="6"/>
        <v>693</v>
      </c>
      <c r="C17" s="10">
        <f t="shared" si="7"/>
        <v>2948</v>
      </c>
      <c r="D17" s="10">
        <f t="shared" si="8"/>
        <v>1443</v>
      </c>
      <c r="E17" s="10">
        <f t="shared" si="9"/>
        <v>1534</v>
      </c>
      <c r="F17" s="10">
        <f t="shared" si="10"/>
        <v>1777</v>
      </c>
      <c r="G17" s="10">
        <f t="shared" si="11"/>
        <v>1777</v>
      </c>
      <c r="H17" s="10">
        <f t="shared" si="12"/>
        <v>10172</v>
      </c>
      <c r="I17" s="10">
        <f t="shared" si="4"/>
        <v>652</v>
      </c>
      <c r="J17" s="10">
        <f t="shared" si="13"/>
        <v>2604</v>
      </c>
      <c r="K17" s="10">
        <f t="shared" si="14"/>
        <v>1357</v>
      </c>
      <c r="L17" s="10">
        <f t="shared" si="15"/>
        <v>1534</v>
      </c>
      <c r="M17" s="10">
        <f t="shared" si="16"/>
        <v>1269</v>
      </c>
      <c r="N17" s="10">
        <f t="shared" si="17"/>
        <v>1269</v>
      </c>
      <c r="O17" s="10">
        <f t="shared" si="18"/>
        <v>2237</v>
      </c>
      <c r="P17" s="10">
        <f t="shared" si="19"/>
        <v>2237</v>
      </c>
      <c r="Q17" s="10">
        <f t="shared" si="5"/>
        <v>1890</v>
      </c>
      <c r="R17" s="10">
        <f t="shared" si="20"/>
        <v>3655</v>
      </c>
      <c r="S17" s="10">
        <f t="shared" si="21"/>
        <v>1194</v>
      </c>
      <c r="T17" s="10">
        <f t="shared" si="22"/>
        <v>1269</v>
      </c>
      <c r="U17" s="10">
        <f t="shared" si="23"/>
        <v>1590</v>
      </c>
      <c r="V17" s="10">
        <f t="shared" si="23"/>
        <v>1590</v>
      </c>
      <c r="W17" s="10">
        <f t="shared" si="24"/>
        <v>11188</v>
      </c>
      <c r="X17" s="10">
        <f t="shared" si="25"/>
        <v>0.88</v>
      </c>
    </row>
    <row r="18" spans="1:24" x14ac:dyDescent="0.25">
      <c r="A18" s="8">
        <v>2029</v>
      </c>
      <c r="B18" s="10">
        <f t="shared" si="6"/>
        <v>624</v>
      </c>
      <c r="C18" s="10">
        <f t="shared" si="7"/>
        <v>2595</v>
      </c>
      <c r="D18" s="10">
        <f t="shared" si="8"/>
        <v>1194</v>
      </c>
      <c r="E18" s="10">
        <f t="shared" si="9"/>
        <v>1269</v>
      </c>
      <c r="F18" s="10">
        <f t="shared" si="10"/>
        <v>1590</v>
      </c>
      <c r="G18" s="10">
        <f t="shared" si="11"/>
        <v>1590</v>
      </c>
      <c r="H18" s="10">
        <f t="shared" si="12"/>
        <v>8862</v>
      </c>
      <c r="I18" s="10">
        <f t="shared" si="4"/>
        <v>587</v>
      </c>
      <c r="J18" s="10">
        <f t="shared" si="13"/>
        <v>2292</v>
      </c>
      <c r="K18" s="10">
        <f t="shared" si="14"/>
        <v>1123</v>
      </c>
      <c r="L18" s="10">
        <f t="shared" si="15"/>
        <v>1269</v>
      </c>
      <c r="M18" s="10">
        <f t="shared" si="16"/>
        <v>1135</v>
      </c>
      <c r="N18" s="10">
        <f t="shared" si="17"/>
        <v>1135</v>
      </c>
      <c r="O18" s="10">
        <f t="shared" si="18"/>
        <v>1961</v>
      </c>
      <c r="P18" s="10">
        <f t="shared" si="19"/>
        <v>1961</v>
      </c>
      <c r="Q18" s="10">
        <f t="shared" si="5"/>
        <v>1609</v>
      </c>
      <c r="R18" s="10">
        <f t="shared" si="20"/>
        <v>3145</v>
      </c>
      <c r="S18" s="10">
        <f t="shared" si="21"/>
        <v>1068</v>
      </c>
      <c r="T18" s="10">
        <f t="shared" si="22"/>
        <v>1135</v>
      </c>
      <c r="U18" s="10">
        <f t="shared" si="23"/>
        <v>1394</v>
      </c>
      <c r="V18" s="10">
        <f t="shared" si="23"/>
        <v>1394</v>
      </c>
      <c r="W18" s="10">
        <f t="shared" si="24"/>
        <v>9745</v>
      </c>
      <c r="X18" s="10">
        <f t="shared" si="25"/>
        <v>0.87</v>
      </c>
    </row>
    <row r="19" spans="1:24" x14ac:dyDescent="0.25">
      <c r="A19" s="8">
        <v>2030</v>
      </c>
      <c r="B19" s="10">
        <f t="shared" si="6"/>
        <v>531</v>
      </c>
      <c r="C19" s="10">
        <f t="shared" si="7"/>
        <v>2233</v>
      </c>
      <c r="D19" s="10">
        <f t="shared" si="8"/>
        <v>1068</v>
      </c>
      <c r="E19" s="10">
        <f t="shared" si="9"/>
        <v>1135</v>
      </c>
      <c r="F19" s="10">
        <f t="shared" si="10"/>
        <v>1394</v>
      </c>
      <c r="G19" s="10">
        <f t="shared" si="11"/>
        <v>1394</v>
      </c>
      <c r="H19" s="10">
        <f t="shared" si="12"/>
        <v>7755</v>
      </c>
      <c r="I19" s="10">
        <f t="shared" si="4"/>
        <v>500</v>
      </c>
      <c r="J19" s="10">
        <f t="shared" si="13"/>
        <v>1972</v>
      </c>
      <c r="K19" s="10">
        <f t="shared" si="14"/>
        <v>1005</v>
      </c>
      <c r="L19" s="10">
        <f t="shared" si="15"/>
        <v>1135</v>
      </c>
      <c r="M19" s="10">
        <f t="shared" si="16"/>
        <v>996</v>
      </c>
      <c r="N19" s="10">
        <f t="shared" si="17"/>
        <v>996</v>
      </c>
      <c r="O19" s="10">
        <f t="shared" si="18"/>
        <v>1691</v>
      </c>
      <c r="P19" s="10">
        <f t="shared" si="19"/>
        <v>1691</v>
      </c>
      <c r="Q19" s="10">
        <f t="shared" si="5"/>
        <v>1416</v>
      </c>
      <c r="R19" s="10">
        <f t="shared" si="20"/>
        <v>2744</v>
      </c>
      <c r="S19" s="10">
        <f t="shared" si="21"/>
        <v>937</v>
      </c>
      <c r="T19" s="10">
        <f t="shared" si="22"/>
        <v>996</v>
      </c>
      <c r="U19" s="10">
        <f t="shared" si="23"/>
        <v>1202</v>
      </c>
      <c r="V19" s="10">
        <f t="shared" si="23"/>
        <v>1202</v>
      </c>
      <c r="W19" s="10">
        <f t="shared" si="24"/>
        <v>8497</v>
      </c>
      <c r="X19" s="10">
        <f t="shared" si="25"/>
        <v>0.87</v>
      </c>
    </row>
    <row r="20" spans="1:24" x14ac:dyDescent="0.25">
      <c r="A20" s="8">
        <v>2031</v>
      </c>
      <c r="B20" s="10">
        <f t="shared" si="6"/>
        <v>467</v>
      </c>
      <c r="C20" s="10">
        <f t="shared" si="7"/>
        <v>1948</v>
      </c>
      <c r="D20" s="10">
        <f t="shared" si="8"/>
        <v>937</v>
      </c>
      <c r="E20" s="10">
        <f t="shared" si="9"/>
        <v>996</v>
      </c>
      <c r="F20" s="10">
        <f t="shared" si="10"/>
        <v>1202</v>
      </c>
      <c r="G20" s="10">
        <f t="shared" si="11"/>
        <v>1202</v>
      </c>
      <c r="H20" s="10">
        <f t="shared" si="12"/>
        <v>6752</v>
      </c>
      <c r="I20" s="10">
        <f t="shared" si="4"/>
        <v>439</v>
      </c>
      <c r="J20" s="10">
        <f t="shared" si="13"/>
        <v>1720</v>
      </c>
      <c r="K20" s="10">
        <f t="shared" si="14"/>
        <v>881</v>
      </c>
      <c r="L20" s="10">
        <f t="shared" si="15"/>
        <v>996</v>
      </c>
      <c r="M20" s="10">
        <f t="shared" si="16"/>
        <v>858</v>
      </c>
      <c r="N20" s="10">
        <f t="shared" si="17"/>
        <v>858</v>
      </c>
      <c r="O20" s="10">
        <f t="shared" si="18"/>
        <v>1476</v>
      </c>
      <c r="P20" s="10">
        <f t="shared" si="19"/>
        <v>1476</v>
      </c>
      <c r="Q20" s="10">
        <f t="shared" si="5"/>
        <v>1242</v>
      </c>
      <c r="R20" s="10">
        <f t="shared" si="20"/>
        <v>2399</v>
      </c>
      <c r="S20" s="10">
        <f t="shared" si="21"/>
        <v>807</v>
      </c>
      <c r="T20" s="10">
        <f t="shared" si="22"/>
        <v>858</v>
      </c>
      <c r="U20" s="10">
        <f t="shared" si="23"/>
        <v>1049</v>
      </c>
      <c r="V20" s="10">
        <f t="shared" si="23"/>
        <v>1049</v>
      </c>
      <c r="W20" s="10">
        <f t="shared" si="24"/>
        <v>7404</v>
      </c>
      <c r="X20" s="10">
        <f t="shared" si="25"/>
        <v>0.87</v>
      </c>
    </row>
    <row r="21" spans="1:24" x14ac:dyDescent="0.25">
      <c r="A21" s="8">
        <v>2032</v>
      </c>
      <c r="B21" s="10">
        <f t="shared" si="6"/>
        <v>410</v>
      </c>
      <c r="C21" s="10">
        <f t="shared" si="7"/>
        <v>1703</v>
      </c>
      <c r="D21" s="10">
        <f t="shared" si="8"/>
        <v>807</v>
      </c>
      <c r="E21" s="10">
        <f t="shared" si="9"/>
        <v>858</v>
      </c>
      <c r="F21" s="10">
        <f t="shared" si="10"/>
        <v>1049</v>
      </c>
      <c r="G21" s="10">
        <f t="shared" si="11"/>
        <v>1049</v>
      </c>
      <c r="H21" s="10">
        <f t="shared" si="12"/>
        <v>5876</v>
      </c>
      <c r="I21" s="10">
        <f t="shared" si="4"/>
        <v>386</v>
      </c>
      <c r="J21" s="10">
        <f t="shared" si="13"/>
        <v>1504</v>
      </c>
      <c r="K21" s="10">
        <f t="shared" si="14"/>
        <v>759</v>
      </c>
      <c r="L21" s="10">
        <f t="shared" si="15"/>
        <v>858</v>
      </c>
      <c r="M21" s="10">
        <f t="shared" si="16"/>
        <v>749</v>
      </c>
      <c r="N21" s="10">
        <f t="shared" si="17"/>
        <v>749</v>
      </c>
      <c r="O21" s="10">
        <f t="shared" si="18"/>
        <v>1289</v>
      </c>
      <c r="P21" s="10">
        <f t="shared" si="19"/>
        <v>1289</v>
      </c>
      <c r="Q21" s="10">
        <f t="shared" si="5"/>
        <v>1077</v>
      </c>
      <c r="R21" s="10">
        <f t="shared" si="20"/>
        <v>2086</v>
      </c>
      <c r="S21" s="10">
        <f t="shared" si="21"/>
        <v>705</v>
      </c>
      <c r="T21" s="10">
        <f t="shared" si="22"/>
        <v>749</v>
      </c>
      <c r="U21" s="10">
        <f t="shared" si="23"/>
        <v>916</v>
      </c>
      <c r="V21" s="10">
        <f t="shared" si="23"/>
        <v>916</v>
      </c>
      <c r="W21" s="10">
        <f t="shared" si="24"/>
        <v>6449</v>
      </c>
      <c r="X21" s="10">
        <f t="shared" si="25"/>
        <v>0.87</v>
      </c>
    </row>
    <row r="22" spans="1:24" x14ac:dyDescent="0.25">
      <c r="A22" s="8">
        <v>2033</v>
      </c>
      <c r="B22" s="10">
        <f t="shared" si="6"/>
        <v>355</v>
      </c>
      <c r="C22" s="10">
        <f t="shared" si="7"/>
        <v>1481</v>
      </c>
      <c r="D22" s="10">
        <f t="shared" si="8"/>
        <v>705</v>
      </c>
      <c r="E22" s="10">
        <f t="shared" si="9"/>
        <v>749</v>
      </c>
      <c r="F22" s="10">
        <f t="shared" si="10"/>
        <v>916</v>
      </c>
      <c r="G22" s="10">
        <f t="shared" si="11"/>
        <v>916</v>
      </c>
      <c r="H22" s="10">
        <f t="shared" si="12"/>
        <v>5122</v>
      </c>
      <c r="I22" s="10">
        <f t="shared" si="4"/>
        <v>334</v>
      </c>
      <c r="J22" s="10">
        <f t="shared" si="13"/>
        <v>1308</v>
      </c>
      <c r="K22" s="10">
        <f t="shared" si="14"/>
        <v>663</v>
      </c>
      <c r="L22" s="10">
        <f t="shared" si="15"/>
        <v>749</v>
      </c>
      <c r="M22" s="10">
        <f t="shared" si="16"/>
        <v>654</v>
      </c>
      <c r="N22" s="10">
        <f t="shared" si="17"/>
        <v>654</v>
      </c>
      <c r="O22" s="10">
        <f t="shared" si="18"/>
        <v>1121</v>
      </c>
      <c r="P22" s="10">
        <f t="shared" si="19"/>
        <v>1121</v>
      </c>
      <c r="Q22" s="10">
        <f t="shared" si="5"/>
        <v>938</v>
      </c>
      <c r="R22" s="10">
        <f t="shared" si="20"/>
        <v>1817</v>
      </c>
      <c r="S22" s="10">
        <f t="shared" si="21"/>
        <v>615</v>
      </c>
      <c r="T22" s="10">
        <f t="shared" si="22"/>
        <v>654</v>
      </c>
      <c r="U22" s="10">
        <f t="shared" si="23"/>
        <v>797</v>
      </c>
      <c r="V22" s="10">
        <f t="shared" si="23"/>
        <v>797</v>
      </c>
      <c r="W22" s="10">
        <f t="shared" si="24"/>
        <v>5618</v>
      </c>
      <c r="X22" s="10">
        <f t="shared" si="25"/>
        <v>0.87</v>
      </c>
    </row>
    <row r="23" spans="1:24" x14ac:dyDescent="0.25">
      <c r="A23" s="8">
        <v>2034</v>
      </c>
      <c r="B23" s="10">
        <f t="shared" si="6"/>
        <v>310</v>
      </c>
      <c r="C23" s="10">
        <f t="shared" si="7"/>
        <v>1290</v>
      </c>
      <c r="D23" s="10">
        <f t="shared" si="8"/>
        <v>615</v>
      </c>
      <c r="E23" s="10">
        <f t="shared" si="9"/>
        <v>654</v>
      </c>
      <c r="F23" s="10">
        <f t="shared" si="10"/>
        <v>797</v>
      </c>
      <c r="G23" s="10">
        <f t="shared" si="11"/>
        <v>797</v>
      </c>
      <c r="H23" s="10">
        <f t="shared" si="12"/>
        <v>4463</v>
      </c>
      <c r="I23" s="10">
        <f t="shared" si="4"/>
        <v>292</v>
      </c>
      <c r="J23" s="10">
        <f t="shared" si="13"/>
        <v>1139</v>
      </c>
      <c r="K23" s="10">
        <f t="shared" si="14"/>
        <v>579</v>
      </c>
      <c r="L23" s="10">
        <f t="shared" si="15"/>
        <v>654</v>
      </c>
      <c r="M23" s="10">
        <f t="shared" si="16"/>
        <v>569</v>
      </c>
      <c r="N23" s="10">
        <f t="shared" si="17"/>
        <v>569</v>
      </c>
      <c r="O23" s="10">
        <f t="shared" si="18"/>
        <v>977</v>
      </c>
      <c r="P23" s="10">
        <f t="shared" si="19"/>
        <v>977</v>
      </c>
      <c r="Q23" s="10">
        <f t="shared" si="5"/>
        <v>819</v>
      </c>
      <c r="R23" s="10">
        <f t="shared" si="20"/>
        <v>1584</v>
      </c>
      <c r="S23" s="10">
        <f t="shared" si="21"/>
        <v>535</v>
      </c>
      <c r="T23" s="10">
        <f t="shared" si="22"/>
        <v>569</v>
      </c>
      <c r="U23" s="10">
        <f t="shared" si="23"/>
        <v>694</v>
      </c>
      <c r="V23" s="10">
        <f t="shared" si="23"/>
        <v>694</v>
      </c>
      <c r="W23" s="10">
        <f t="shared" si="24"/>
        <v>4895</v>
      </c>
      <c r="X23" s="10">
        <f t="shared" si="25"/>
        <v>0.87</v>
      </c>
    </row>
    <row r="24" spans="1:24" x14ac:dyDescent="0.25">
      <c r="A24" s="8">
        <v>2035</v>
      </c>
      <c r="B24" s="10">
        <f t="shared" si="6"/>
        <v>270</v>
      </c>
      <c r="C24" s="10">
        <f t="shared" si="7"/>
        <v>1125</v>
      </c>
      <c r="D24" s="10">
        <f t="shared" si="8"/>
        <v>535</v>
      </c>
      <c r="E24" s="10">
        <f t="shared" si="9"/>
        <v>569</v>
      </c>
      <c r="F24" s="10">
        <f t="shared" si="10"/>
        <v>694</v>
      </c>
      <c r="G24" s="10">
        <f t="shared" si="11"/>
        <v>694</v>
      </c>
      <c r="H24" s="10">
        <f t="shared" si="12"/>
        <v>3887</v>
      </c>
      <c r="I24" s="10">
        <f t="shared" si="4"/>
        <v>254</v>
      </c>
      <c r="J24" s="10">
        <f t="shared" si="13"/>
        <v>994</v>
      </c>
      <c r="K24" s="10">
        <f t="shared" si="14"/>
        <v>503</v>
      </c>
      <c r="L24" s="10">
        <f t="shared" si="15"/>
        <v>569</v>
      </c>
      <c r="M24" s="10">
        <f t="shared" si="16"/>
        <v>496</v>
      </c>
      <c r="N24" s="10">
        <f t="shared" si="17"/>
        <v>496</v>
      </c>
      <c r="O24" s="10">
        <f t="shared" si="18"/>
        <v>852</v>
      </c>
      <c r="P24" s="10">
        <f t="shared" si="19"/>
        <v>852</v>
      </c>
      <c r="Q24" s="10">
        <f t="shared" si="5"/>
        <v>712</v>
      </c>
      <c r="R24" s="10">
        <f t="shared" si="20"/>
        <v>1380</v>
      </c>
      <c r="S24" s="10">
        <f t="shared" si="21"/>
        <v>467</v>
      </c>
      <c r="T24" s="10">
        <f t="shared" si="22"/>
        <v>496</v>
      </c>
      <c r="U24" s="10">
        <f t="shared" si="23"/>
        <v>605</v>
      </c>
      <c r="V24" s="10">
        <f t="shared" si="23"/>
        <v>605</v>
      </c>
      <c r="W24" s="10">
        <f t="shared" si="24"/>
        <v>4265</v>
      </c>
      <c r="X24" s="10">
        <f t="shared" si="25"/>
        <v>0.87</v>
      </c>
    </row>
    <row r="25" spans="1:24" x14ac:dyDescent="0.25">
      <c r="A25" s="8">
        <v>2036</v>
      </c>
      <c r="B25" s="10">
        <f t="shared" si="6"/>
        <v>235</v>
      </c>
      <c r="C25" s="10">
        <f t="shared" si="7"/>
        <v>980</v>
      </c>
      <c r="D25" s="10">
        <f t="shared" si="8"/>
        <v>467</v>
      </c>
      <c r="E25" s="10">
        <f t="shared" si="9"/>
        <v>496</v>
      </c>
      <c r="F25" s="10">
        <f t="shared" si="10"/>
        <v>605</v>
      </c>
      <c r="G25" s="10">
        <f t="shared" si="11"/>
        <v>605</v>
      </c>
      <c r="H25" s="10">
        <f t="shared" si="12"/>
        <v>3388</v>
      </c>
      <c r="I25" s="10">
        <f t="shared" si="4"/>
        <v>221</v>
      </c>
      <c r="J25" s="10">
        <f t="shared" si="13"/>
        <v>866</v>
      </c>
      <c r="K25" s="10">
        <f t="shared" si="14"/>
        <v>439</v>
      </c>
      <c r="L25" s="10">
        <f t="shared" si="15"/>
        <v>496</v>
      </c>
      <c r="M25" s="10">
        <f t="shared" si="16"/>
        <v>432</v>
      </c>
      <c r="N25" s="10">
        <f t="shared" si="17"/>
        <v>432</v>
      </c>
      <c r="O25" s="10">
        <f t="shared" si="18"/>
        <v>742</v>
      </c>
      <c r="P25" s="10">
        <f t="shared" si="19"/>
        <v>742</v>
      </c>
      <c r="Q25" s="10">
        <f t="shared" si="5"/>
        <v>621</v>
      </c>
      <c r="R25" s="10">
        <f t="shared" si="20"/>
        <v>1203</v>
      </c>
      <c r="S25" s="10">
        <f t="shared" si="21"/>
        <v>406</v>
      </c>
      <c r="T25" s="10">
        <f t="shared" si="22"/>
        <v>432</v>
      </c>
      <c r="U25" s="10">
        <f t="shared" si="23"/>
        <v>527</v>
      </c>
      <c r="V25" s="10">
        <f t="shared" si="23"/>
        <v>527</v>
      </c>
      <c r="W25" s="10">
        <f t="shared" si="24"/>
        <v>3716</v>
      </c>
      <c r="X25" s="10">
        <f t="shared" si="25"/>
        <v>0.87</v>
      </c>
    </row>
    <row r="26" spans="1:24" x14ac:dyDescent="0.25">
      <c r="A26" s="8">
        <v>2037</v>
      </c>
      <c r="B26" s="10">
        <f t="shared" si="6"/>
        <v>205</v>
      </c>
      <c r="C26" s="10">
        <f t="shared" si="7"/>
        <v>854</v>
      </c>
      <c r="D26" s="10">
        <f t="shared" si="8"/>
        <v>406</v>
      </c>
      <c r="E26" s="10">
        <f t="shared" si="9"/>
        <v>432</v>
      </c>
      <c r="F26" s="10">
        <f t="shared" si="10"/>
        <v>527</v>
      </c>
      <c r="G26" s="10">
        <f t="shared" si="11"/>
        <v>527</v>
      </c>
      <c r="H26" s="10">
        <f t="shared" si="12"/>
        <v>2951</v>
      </c>
      <c r="I26" s="10">
        <f t="shared" si="4"/>
        <v>193</v>
      </c>
      <c r="J26" s="10">
        <f t="shared" si="13"/>
        <v>754</v>
      </c>
      <c r="K26" s="10">
        <f t="shared" si="14"/>
        <v>382</v>
      </c>
      <c r="L26" s="10">
        <f t="shared" si="15"/>
        <v>432</v>
      </c>
      <c r="M26" s="10">
        <f t="shared" si="16"/>
        <v>376</v>
      </c>
      <c r="N26" s="10">
        <f t="shared" si="17"/>
        <v>376</v>
      </c>
      <c r="O26" s="10">
        <f t="shared" si="18"/>
        <v>646</v>
      </c>
      <c r="P26" s="10">
        <f t="shared" si="19"/>
        <v>646</v>
      </c>
      <c r="Q26" s="10">
        <f t="shared" si="5"/>
        <v>541</v>
      </c>
      <c r="R26" s="10">
        <f t="shared" si="20"/>
        <v>1047</v>
      </c>
      <c r="S26" s="10">
        <f t="shared" si="21"/>
        <v>354</v>
      </c>
      <c r="T26" s="10">
        <f t="shared" si="22"/>
        <v>376</v>
      </c>
      <c r="U26" s="10">
        <f t="shared" si="23"/>
        <v>459</v>
      </c>
      <c r="V26" s="10">
        <f t="shared" si="23"/>
        <v>459</v>
      </c>
      <c r="W26" s="10">
        <f t="shared" si="24"/>
        <v>3236</v>
      </c>
      <c r="X26" s="10">
        <f t="shared" si="25"/>
        <v>0.87</v>
      </c>
    </row>
    <row r="27" spans="1:24" x14ac:dyDescent="0.25">
      <c r="A27" s="8">
        <v>2038</v>
      </c>
      <c r="B27" s="10">
        <f t="shared" si="6"/>
        <v>179</v>
      </c>
      <c r="C27" s="10">
        <f t="shared" si="7"/>
        <v>743</v>
      </c>
      <c r="D27" s="10">
        <f t="shared" si="8"/>
        <v>354</v>
      </c>
      <c r="E27" s="10">
        <f t="shared" si="9"/>
        <v>376</v>
      </c>
      <c r="F27" s="10">
        <f t="shared" si="10"/>
        <v>459</v>
      </c>
      <c r="G27" s="10">
        <f t="shared" si="11"/>
        <v>459</v>
      </c>
      <c r="H27" s="10">
        <f t="shared" si="12"/>
        <v>2570</v>
      </c>
      <c r="I27" s="10">
        <f t="shared" si="4"/>
        <v>168</v>
      </c>
      <c r="J27" s="10">
        <f t="shared" si="13"/>
        <v>656</v>
      </c>
      <c r="K27" s="10">
        <f t="shared" si="14"/>
        <v>333</v>
      </c>
      <c r="L27" s="10">
        <f t="shared" si="15"/>
        <v>376</v>
      </c>
      <c r="M27" s="10">
        <f t="shared" si="16"/>
        <v>328</v>
      </c>
      <c r="N27" s="10">
        <f t="shared" si="17"/>
        <v>328</v>
      </c>
      <c r="O27" s="10">
        <f t="shared" si="18"/>
        <v>562</v>
      </c>
      <c r="P27" s="10">
        <f t="shared" si="19"/>
        <v>562</v>
      </c>
      <c r="Q27" s="10">
        <f t="shared" si="5"/>
        <v>471</v>
      </c>
      <c r="R27" s="10">
        <f t="shared" si="20"/>
        <v>911</v>
      </c>
      <c r="S27" s="10">
        <f t="shared" si="21"/>
        <v>309</v>
      </c>
      <c r="T27" s="10">
        <f t="shared" si="22"/>
        <v>328</v>
      </c>
      <c r="U27" s="10">
        <f t="shared" si="23"/>
        <v>399</v>
      </c>
      <c r="V27" s="10">
        <f t="shared" si="23"/>
        <v>399</v>
      </c>
      <c r="W27" s="10">
        <f t="shared" si="24"/>
        <v>2817</v>
      </c>
      <c r="X27" s="10">
        <f t="shared" si="25"/>
        <v>0.87</v>
      </c>
    </row>
    <row r="28" spans="1:24" x14ac:dyDescent="0.25">
      <c r="A28" s="8">
        <v>2039</v>
      </c>
      <c r="B28" s="10">
        <f t="shared" si="6"/>
        <v>155</v>
      </c>
      <c r="C28" s="10">
        <f t="shared" si="7"/>
        <v>647</v>
      </c>
      <c r="D28" s="10">
        <f t="shared" si="8"/>
        <v>309</v>
      </c>
      <c r="E28" s="10">
        <f t="shared" si="9"/>
        <v>328</v>
      </c>
      <c r="F28" s="10">
        <f t="shared" si="10"/>
        <v>399</v>
      </c>
      <c r="G28" s="10">
        <f t="shared" si="11"/>
        <v>399</v>
      </c>
      <c r="H28" s="10">
        <f t="shared" si="12"/>
        <v>2237</v>
      </c>
      <c r="I28" s="10">
        <f t="shared" si="4"/>
        <v>146</v>
      </c>
      <c r="J28" s="10">
        <f t="shared" si="13"/>
        <v>571</v>
      </c>
      <c r="K28" s="10">
        <f t="shared" si="14"/>
        <v>291</v>
      </c>
      <c r="L28" s="10">
        <f t="shared" si="15"/>
        <v>328</v>
      </c>
      <c r="M28" s="10">
        <f t="shared" si="16"/>
        <v>285</v>
      </c>
      <c r="N28" s="10">
        <f t="shared" si="17"/>
        <v>285</v>
      </c>
      <c r="O28" s="10">
        <f t="shared" si="18"/>
        <v>490</v>
      </c>
      <c r="P28" s="10">
        <f t="shared" si="19"/>
        <v>490</v>
      </c>
      <c r="Q28" s="10">
        <f t="shared" si="5"/>
        <v>411</v>
      </c>
      <c r="R28" s="10">
        <f t="shared" si="20"/>
        <v>794</v>
      </c>
      <c r="S28" s="10">
        <f t="shared" si="21"/>
        <v>268</v>
      </c>
      <c r="T28" s="10">
        <f t="shared" si="22"/>
        <v>285</v>
      </c>
      <c r="U28" s="10">
        <f t="shared" si="23"/>
        <v>348</v>
      </c>
      <c r="V28" s="10">
        <f t="shared" si="23"/>
        <v>348</v>
      </c>
      <c r="W28" s="10">
        <f t="shared" si="24"/>
        <v>2454</v>
      </c>
      <c r="X28" s="10">
        <f t="shared" si="25"/>
        <v>0.87</v>
      </c>
    </row>
    <row r="29" spans="1:24" x14ac:dyDescent="0.25">
      <c r="A29" s="8">
        <v>2040</v>
      </c>
      <c r="B29" s="10">
        <f t="shared" si="6"/>
        <v>136</v>
      </c>
      <c r="C29" s="10">
        <f t="shared" si="7"/>
        <v>564</v>
      </c>
      <c r="D29" s="10">
        <f t="shared" si="8"/>
        <v>268</v>
      </c>
      <c r="E29" s="10">
        <f t="shared" si="9"/>
        <v>285</v>
      </c>
      <c r="F29" s="10">
        <f t="shared" si="10"/>
        <v>348</v>
      </c>
      <c r="G29" s="10">
        <f t="shared" si="11"/>
        <v>348</v>
      </c>
      <c r="H29" s="10">
        <f t="shared" si="12"/>
        <v>1949</v>
      </c>
      <c r="I29" s="10">
        <f t="shared" si="4"/>
        <v>128</v>
      </c>
      <c r="J29" s="10">
        <f t="shared" si="13"/>
        <v>498</v>
      </c>
      <c r="K29" s="10">
        <f t="shared" si="14"/>
        <v>252</v>
      </c>
      <c r="L29" s="10">
        <f t="shared" si="15"/>
        <v>285</v>
      </c>
      <c r="M29" s="10">
        <f t="shared" si="16"/>
        <v>249</v>
      </c>
      <c r="N29" s="10">
        <f t="shared" si="17"/>
        <v>249</v>
      </c>
      <c r="O29" s="10">
        <f t="shared" si="18"/>
        <v>427</v>
      </c>
      <c r="P29" s="10">
        <f t="shared" si="19"/>
        <v>427</v>
      </c>
      <c r="Q29" s="10">
        <f t="shared" si="5"/>
        <v>357</v>
      </c>
      <c r="R29" s="10">
        <f t="shared" si="20"/>
        <v>692</v>
      </c>
      <c r="S29" s="10">
        <f t="shared" si="21"/>
        <v>234</v>
      </c>
      <c r="T29" s="10">
        <f t="shared" si="22"/>
        <v>249</v>
      </c>
      <c r="U29" s="10">
        <f t="shared" si="23"/>
        <v>303</v>
      </c>
      <c r="V29" s="10">
        <f t="shared" si="23"/>
        <v>303</v>
      </c>
      <c r="W29" s="10">
        <f t="shared" si="24"/>
        <v>2138</v>
      </c>
      <c r="X29" s="10">
        <f t="shared" si="25"/>
        <v>0.87</v>
      </c>
    </row>
    <row r="30" spans="1:24" x14ac:dyDescent="0.25">
      <c r="A30" s="8">
        <v>2041</v>
      </c>
      <c r="B30" s="10">
        <f t="shared" si="6"/>
        <v>118</v>
      </c>
      <c r="C30" s="10">
        <f t="shared" si="7"/>
        <v>491</v>
      </c>
      <c r="D30" s="10">
        <f t="shared" si="8"/>
        <v>234</v>
      </c>
      <c r="E30" s="10">
        <f t="shared" si="9"/>
        <v>249</v>
      </c>
      <c r="F30" s="10">
        <f t="shared" si="10"/>
        <v>303</v>
      </c>
      <c r="G30" s="10">
        <f t="shared" si="11"/>
        <v>303</v>
      </c>
      <c r="H30" s="10">
        <f t="shared" si="12"/>
        <v>1698</v>
      </c>
      <c r="I30" s="10">
        <f t="shared" si="4"/>
        <v>111</v>
      </c>
      <c r="J30" s="10">
        <f t="shared" si="13"/>
        <v>434</v>
      </c>
      <c r="K30" s="10">
        <f t="shared" si="14"/>
        <v>220</v>
      </c>
      <c r="L30" s="10">
        <f t="shared" si="15"/>
        <v>249</v>
      </c>
      <c r="M30" s="10">
        <f t="shared" si="16"/>
        <v>216</v>
      </c>
      <c r="N30" s="10">
        <f t="shared" si="17"/>
        <v>216</v>
      </c>
      <c r="O30" s="10">
        <f t="shared" si="18"/>
        <v>372</v>
      </c>
      <c r="P30" s="10">
        <f t="shared" si="19"/>
        <v>372</v>
      </c>
      <c r="Q30" s="10">
        <f t="shared" si="5"/>
        <v>311</v>
      </c>
      <c r="R30" s="10">
        <f t="shared" si="20"/>
        <v>603</v>
      </c>
      <c r="S30" s="10">
        <f t="shared" si="21"/>
        <v>203</v>
      </c>
      <c r="T30" s="10">
        <f t="shared" si="22"/>
        <v>216</v>
      </c>
      <c r="U30" s="10">
        <f t="shared" si="23"/>
        <v>264</v>
      </c>
      <c r="V30" s="10">
        <f t="shared" si="23"/>
        <v>264</v>
      </c>
      <c r="W30" s="10">
        <f t="shared" si="24"/>
        <v>1861</v>
      </c>
      <c r="X30" s="10">
        <f t="shared" si="25"/>
        <v>0.87</v>
      </c>
    </row>
    <row r="31" spans="1:24" x14ac:dyDescent="0.25">
      <c r="A31" s="8">
        <v>2042</v>
      </c>
      <c r="B31" s="10">
        <f t="shared" si="6"/>
        <v>103</v>
      </c>
      <c r="C31" s="10">
        <f t="shared" si="7"/>
        <v>428</v>
      </c>
      <c r="D31" s="10">
        <f t="shared" si="8"/>
        <v>203</v>
      </c>
      <c r="E31" s="10">
        <f t="shared" si="9"/>
        <v>216</v>
      </c>
      <c r="F31" s="10">
        <f t="shared" si="10"/>
        <v>264</v>
      </c>
      <c r="G31" s="10">
        <f t="shared" si="11"/>
        <v>264</v>
      </c>
      <c r="H31" s="10">
        <f t="shared" si="12"/>
        <v>1478</v>
      </c>
      <c r="I31" s="10">
        <f t="shared" si="4"/>
        <v>97</v>
      </c>
      <c r="J31" s="10">
        <f t="shared" si="13"/>
        <v>378</v>
      </c>
      <c r="K31" s="10">
        <f t="shared" si="14"/>
        <v>191</v>
      </c>
      <c r="L31" s="10">
        <f t="shared" si="15"/>
        <v>216</v>
      </c>
      <c r="M31" s="10">
        <f t="shared" si="16"/>
        <v>189</v>
      </c>
      <c r="N31" s="10">
        <f t="shared" si="17"/>
        <v>189</v>
      </c>
      <c r="O31" s="10">
        <f t="shared" si="18"/>
        <v>324</v>
      </c>
      <c r="P31" s="10">
        <f t="shared" si="19"/>
        <v>324</v>
      </c>
      <c r="Q31" s="10">
        <f t="shared" si="5"/>
        <v>271</v>
      </c>
      <c r="R31" s="10">
        <f t="shared" si="20"/>
        <v>525</v>
      </c>
      <c r="S31" s="10">
        <f t="shared" si="21"/>
        <v>178</v>
      </c>
      <c r="T31" s="10">
        <f t="shared" si="22"/>
        <v>189</v>
      </c>
      <c r="U31" s="10">
        <f t="shared" si="23"/>
        <v>230</v>
      </c>
      <c r="V31" s="10">
        <f t="shared" si="23"/>
        <v>230</v>
      </c>
      <c r="W31" s="10">
        <f t="shared" si="24"/>
        <v>1623</v>
      </c>
      <c r="X31" s="10">
        <f t="shared" si="25"/>
        <v>0.87</v>
      </c>
    </row>
    <row r="32" spans="1:24" x14ac:dyDescent="0.25">
      <c r="A32" s="8">
        <v>2043</v>
      </c>
      <c r="B32" s="10">
        <f t="shared" si="6"/>
        <v>89</v>
      </c>
      <c r="C32" s="10">
        <f t="shared" si="7"/>
        <v>373</v>
      </c>
      <c r="D32" s="10">
        <f t="shared" si="8"/>
        <v>178</v>
      </c>
      <c r="E32" s="10">
        <f t="shared" si="9"/>
        <v>189</v>
      </c>
      <c r="F32" s="10">
        <f t="shared" si="10"/>
        <v>230</v>
      </c>
      <c r="G32" s="10">
        <f t="shared" si="11"/>
        <v>230</v>
      </c>
      <c r="H32" s="10">
        <f t="shared" si="12"/>
        <v>1289</v>
      </c>
      <c r="I32" s="10">
        <f t="shared" si="4"/>
        <v>84</v>
      </c>
      <c r="J32" s="10">
        <f t="shared" si="13"/>
        <v>329</v>
      </c>
      <c r="K32" s="10">
        <f t="shared" si="14"/>
        <v>167</v>
      </c>
      <c r="L32" s="10">
        <f t="shared" si="15"/>
        <v>189</v>
      </c>
      <c r="M32" s="10">
        <f t="shared" si="16"/>
        <v>164</v>
      </c>
      <c r="N32" s="10">
        <f t="shared" si="17"/>
        <v>164</v>
      </c>
      <c r="O32" s="10">
        <f t="shared" si="18"/>
        <v>282</v>
      </c>
      <c r="P32" s="10">
        <f t="shared" si="19"/>
        <v>282</v>
      </c>
      <c r="Q32" s="10">
        <f t="shared" si="5"/>
        <v>236</v>
      </c>
      <c r="R32" s="10">
        <f t="shared" si="20"/>
        <v>457</v>
      </c>
      <c r="S32" s="10">
        <f t="shared" si="21"/>
        <v>154</v>
      </c>
      <c r="T32" s="10">
        <f t="shared" si="22"/>
        <v>164</v>
      </c>
      <c r="U32" s="10">
        <f t="shared" si="23"/>
        <v>200</v>
      </c>
      <c r="V32" s="10">
        <f t="shared" si="23"/>
        <v>200</v>
      </c>
      <c r="W32" s="10">
        <f t="shared" si="24"/>
        <v>1411</v>
      </c>
      <c r="X32" s="10">
        <f t="shared" si="25"/>
        <v>0.87</v>
      </c>
    </row>
    <row r="59" spans="1:3" x14ac:dyDescent="0.25">
      <c r="A59" s="1" t="s">
        <v>56</v>
      </c>
      <c r="B59" s="1" t="s">
        <v>63</v>
      </c>
      <c r="C59" s="1" t="s">
        <v>62</v>
      </c>
    </row>
    <row r="60" spans="1:3" x14ac:dyDescent="0.25">
      <c r="A60" s="1" t="s">
        <v>55</v>
      </c>
      <c r="B60" s="1">
        <f>B61/(B62*B63)*(1+B64+(B64*B65))</f>
        <v>21443.558079830185</v>
      </c>
      <c r="C60" s="11" t="s">
        <v>65</v>
      </c>
    </row>
    <row r="61" spans="1:3" x14ac:dyDescent="0.25">
      <c r="A61" s="1" t="s">
        <v>57</v>
      </c>
      <c r="B61" s="1">
        <v>2602</v>
      </c>
      <c r="C61" s="1" t="s">
        <v>64</v>
      </c>
    </row>
    <row r="62" spans="1:3" x14ac:dyDescent="0.25">
      <c r="A62" s="1" t="s">
        <v>58</v>
      </c>
      <c r="B62" s="1">
        <f>1-0.39</f>
        <v>0.61</v>
      </c>
      <c r="C62" s="11" t="s">
        <v>67</v>
      </c>
    </row>
    <row r="63" spans="1:3" x14ac:dyDescent="0.25">
      <c r="A63" s="1" t="s">
        <v>59</v>
      </c>
      <c r="B63" s="1">
        <f>0.381/(0.381+0.331+0.133)</f>
        <v>0.45088757396449708</v>
      </c>
      <c r="C63" s="11" t="s">
        <v>67</v>
      </c>
    </row>
    <row r="64" spans="1:3" x14ac:dyDescent="0.25">
      <c r="A64" s="1" t="s">
        <v>60</v>
      </c>
      <c r="B64" s="1">
        <v>0.6</v>
      </c>
      <c r="C64" s="1" t="s">
        <v>66</v>
      </c>
    </row>
    <row r="65" spans="1:3" x14ac:dyDescent="0.25">
      <c r="A65" s="1" t="s">
        <v>61</v>
      </c>
      <c r="B65" s="1">
        <f>0.3/B66</f>
        <v>1.1111111111111109</v>
      </c>
    </row>
    <row r="66" spans="1:3" x14ac:dyDescent="0.25">
      <c r="B66" s="1">
        <f>0.45*0.6</f>
        <v>0.27</v>
      </c>
      <c r="C66" s="1" t="s">
        <v>68</v>
      </c>
    </row>
  </sheetData>
  <hyperlinks>
    <hyperlink ref="C60" r:id="rId1" xr:uid="{0BE71A9D-D9AB-45ED-AAC0-96E37F74C381}"/>
    <hyperlink ref="C62" r:id="rId2" xr:uid="{B9C3D224-7661-47B1-ACBC-CDE75579A4DE}"/>
    <hyperlink ref="C63" r:id="rId3" xr:uid="{5030EBD0-EF37-4104-9441-54DEE955C3AB}"/>
  </hyperlinks>
  <pageMargins left="0.7" right="0.7" top="0.75" bottom="0.75" header="0.3" footer="0.3"/>
  <pageSetup orientation="portrait" r:id="rId4"/>
  <drawing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6DCCD-5F8F-4C11-963D-C1110C163201}">
  <dimension ref="A1:AE66"/>
  <sheetViews>
    <sheetView zoomScale="58" zoomScaleNormal="70" workbookViewId="0">
      <selection activeCell="G2" sqref="G2"/>
    </sheetView>
  </sheetViews>
  <sheetFormatPr defaultColWidth="9.140625" defaultRowHeight="15" x14ac:dyDescent="0.25"/>
  <cols>
    <col min="1" max="1" width="35.85546875" style="1" customWidth="1"/>
    <col min="2" max="2" width="15.85546875" style="1" customWidth="1"/>
    <col min="3" max="3" width="18.85546875" style="1" customWidth="1"/>
    <col min="4" max="4" width="20.42578125" style="1" customWidth="1"/>
    <col min="5" max="5" width="15.85546875" style="1" customWidth="1"/>
    <col min="6" max="6" width="18.5703125" style="1" customWidth="1"/>
    <col min="7" max="7" width="19" style="1" customWidth="1"/>
    <col min="8" max="8" width="13" style="1" customWidth="1"/>
    <col min="9" max="9" width="14" style="1" customWidth="1"/>
    <col min="10" max="10" width="15.42578125" style="1" customWidth="1"/>
    <col min="11" max="11" width="12.85546875" style="1" customWidth="1"/>
    <col min="12" max="12" width="15.140625" style="1" customWidth="1"/>
    <col min="13" max="13" width="16.5703125" style="1" customWidth="1"/>
    <col min="14" max="14" width="17.5703125" style="1" customWidth="1"/>
    <col min="15" max="15" width="15.85546875" style="1" customWidth="1"/>
    <col min="16" max="16" width="15.5703125" style="1" customWidth="1"/>
    <col min="17" max="17" width="17.7109375" style="1" customWidth="1"/>
    <col min="18" max="18" width="16.7109375" style="1" customWidth="1"/>
    <col min="19" max="19" width="17" style="1" customWidth="1"/>
    <col min="20" max="20" width="14.7109375" style="1" customWidth="1"/>
    <col min="21" max="21" width="17.85546875" style="1" customWidth="1"/>
    <col min="22" max="16384" width="9.140625" style="1"/>
  </cols>
  <sheetData>
    <row r="1" spans="1:31" x14ac:dyDescent="0.25">
      <c r="A1" s="1" t="s">
        <v>53</v>
      </c>
      <c r="B1" s="1" t="s">
        <v>54</v>
      </c>
      <c r="C1" s="1">
        <v>1730</v>
      </c>
      <c r="D1" s="1" t="s">
        <v>77</v>
      </c>
    </row>
    <row r="2" spans="1:31" x14ac:dyDescent="0.25">
      <c r="A2" s="1" t="s">
        <v>52</v>
      </c>
      <c r="B2" s="1">
        <v>2024</v>
      </c>
      <c r="C2" s="15">
        <f>B3/C1</f>
        <v>11.031657046849052</v>
      </c>
      <c r="D2" s="1" t="s">
        <v>78</v>
      </c>
      <c r="E2" s="15">
        <f>H13/C1</f>
        <v>8.5572254335260123</v>
      </c>
      <c r="F2" s="1" t="s">
        <v>79</v>
      </c>
      <c r="K2" s="1" t="s">
        <v>0</v>
      </c>
      <c r="L2" s="1" t="s">
        <v>1</v>
      </c>
      <c r="M2" s="1" t="s">
        <v>2</v>
      </c>
      <c r="O2" s="1" t="s">
        <v>3</v>
      </c>
      <c r="P2" s="1" t="s">
        <v>4</v>
      </c>
      <c r="Q2" s="1" t="s">
        <v>72</v>
      </c>
      <c r="S2" s="15" t="s">
        <v>80</v>
      </c>
    </row>
    <row r="3" spans="1:31" x14ac:dyDescent="0.25">
      <c r="A3" s="2" t="s">
        <v>5</v>
      </c>
      <c r="B3" s="12">
        <f>B60</f>
        <v>19084.766691048859</v>
      </c>
      <c r="J3" s="2" t="s">
        <v>6</v>
      </c>
      <c r="K3" s="3">
        <v>0.115</v>
      </c>
      <c r="L3" s="4">
        <f>LN(1-K3)</f>
        <v>-0.12216763397420753</v>
      </c>
      <c r="M3" s="4">
        <f>1-EXP(L3*0.5)</f>
        <v>5.9255613888661074E-2</v>
      </c>
      <c r="O3" s="3">
        <f>Q3-O5</f>
        <v>2315.7799999999997</v>
      </c>
      <c r="P3" s="4">
        <f>ROUND((O3/F5),2)</f>
        <v>0.67</v>
      </c>
      <c r="Q3" s="1">
        <v>2602</v>
      </c>
      <c r="R3" s="1">
        <f>Q3+Q4</f>
        <v>4308</v>
      </c>
      <c r="S3" s="16">
        <f>B3*67</f>
        <v>1278679.3683002735</v>
      </c>
      <c r="T3" s="1" t="s">
        <v>81</v>
      </c>
    </row>
    <row r="4" spans="1:31" x14ac:dyDescent="0.25">
      <c r="A4" s="2" t="s">
        <v>7</v>
      </c>
      <c r="B4" s="13">
        <v>0.6</v>
      </c>
      <c r="C4" s="1" t="s">
        <v>8</v>
      </c>
      <c r="F4" s="1" t="s">
        <v>9</v>
      </c>
      <c r="G4" s="1" t="s">
        <v>10</v>
      </c>
      <c r="I4" s="1">
        <v>0.22</v>
      </c>
      <c r="J4" s="2" t="s">
        <v>11</v>
      </c>
      <c r="K4" s="3">
        <v>0.1</v>
      </c>
      <c r="L4" s="4">
        <f t="shared" ref="L4:L9" si="0">LN(1-K4)</f>
        <v>-0.10536051565782628</v>
      </c>
      <c r="M4" s="4">
        <f t="shared" ref="M4:M9" si="1">1-EXP(L4*0.5)</f>
        <v>5.1316701949486232E-2</v>
      </c>
      <c r="O4" s="3">
        <f>(Q4-(O6+O7+O8))</f>
        <v>1194.2</v>
      </c>
      <c r="P4" s="4">
        <f>ROUND((O4/G5),2)</f>
        <v>0.23</v>
      </c>
      <c r="Q4" s="1">
        <v>1706</v>
      </c>
      <c r="S4" s="16">
        <f>H13*67</f>
        <v>991868</v>
      </c>
      <c r="T4" s="1" t="s">
        <v>82</v>
      </c>
    </row>
    <row r="5" spans="1:31" x14ac:dyDescent="0.25">
      <c r="A5" s="2" t="s">
        <v>12</v>
      </c>
      <c r="B5" s="13">
        <v>0.45</v>
      </c>
      <c r="D5" s="5" t="s">
        <v>13</v>
      </c>
      <c r="E5" s="4">
        <f>ROUND((B3*B5),0)</f>
        <v>8588</v>
      </c>
      <c r="F5" s="4">
        <f>ROUND(E5*(1-$B$4),0)</f>
        <v>3435</v>
      </c>
      <c r="G5" s="4">
        <f>ROUND((E5*$B$4),0)</f>
        <v>5153</v>
      </c>
      <c r="J5" s="2" t="s">
        <v>14</v>
      </c>
      <c r="K5" s="3">
        <v>0.115</v>
      </c>
      <c r="L5" s="4">
        <f t="shared" si="0"/>
        <v>-0.12216763397420753</v>
      </c>
      <c r="M5" s="4">
        <f t="shared" si="1"/>
        <v>5.9255613888661074E-2</v>
      </c>
      <c r="O5" s="3">
        <f>(Q3*0.11)</f>
        <v>286.22000000000003</v>
      </c>
      <c r="P5" s="4">
        <f>ROUND((O5/F6),2)</f>
        <v>0.12</v>
      </c>
      <c r="Q5" s="1" t="s">
        <v>69</v>
      </c>
    </row>
    <row r="6" spans="1:31" x14ac:dyDescent="0.25">
      <c r="A6" s="2" t="s">
        <v>15</v>
      </c>
      <c r="B6" s="13">
        <v>0.3</v>
      </c>
      <c r="D6" s="5" t="s">
        <v>16</v>
      </c>
      <c r="E6" s="4">
        <f>ROUND((B3*B6),0)</f>
        <v>5725</v>
      </c>
      <c r="F6" s="4">
        <f t="shared" ref="F6:F7" si="2">ROUND(E6*(1-$B$4),0)</f>
        <v>2290</v>
      </c>
      <c r="G6" s="4">
        <f t="shared" ref="G6:G7" si="3">ROUND((E6*$B$4),0)</f>
        <v>3435</v>
      </c>
      <c r="I6" s="1">
        <v>0</v>
      </c>
      <c r="J6" s="2" t="s">
        <v>17</v>
      </c>
      <c r="K6" s="3">
        <v>0</v>
      </c>
      <c r="L6" s="4">
        <f t="shared" si="0"/>
        <v>0</v>
      </c>
      <c r="M6" s="4">
        <f t="shared" si="1"/>
        <v>0</v>
      </c>
      <c r="O6" s="3">
        <f>(Q4*0.18)</f>
        <v>307.08</v>
      </c>
      <c r="P6" s="4">
        <f>ROUND((O6/G6),2)</f>
        <v>0.09</v>
      </c>
      <c r="Q6" s="1" t="s">
        <v>70</v>
      </c>
    </row>
    <row r="7" spans="1:31" x14ac:dyDescent="0.25">
      <c r="A7" s="6" t="s">
        <v>18</v>
      </c>
      <c r="B7" s="7">
        <f>(1 - (B5 + B6))</f>
        <v>0.25</v>
      </c>
      <c r="D7" s="5" t="s">
        <v>19</v>
      </c>
      <c r="E7" s="4">
        <f>ROUND((B3*B7),0)</f>
        <v>4771</v>
      </c>
      <c r="F7" s="4">
        <f t="shared" si="2"/>
        <v>1908</v>
      </c>
      <c r="G7" s="4">
        <f t="shared" si="3"/>
        <v>2863</v>
      </c>
      <c r="J7" s="2" t="s">
        <v>20</v>
      </c>
      <c r="K7" s="3">
        <v>0.49</v>
      </c>
      <c r="L7" s="4">
        <f t="shared" si="0"/>
        <v>-0.67334455326376563</v>
      </c>
      <c r="M7" s="4">
        <f t="shared" si="1"/>
        <v>0.28585715714571502</v>
      </c>
      <c r="O7" s="3">
        <f>(Q4*0.12)/2</f>
        <v>102.36</v>
      </c>
      <c r="P7" s="4">
        <f>ROUND((O7/F7),2)</f>
        <v>0.05</v>
      </c>
      <c r="Q7" s="1" t="s">
        <v>71</v>
      </c>
    </row>
    <row r="8" spans="1:31" x14ac:dyDescent="0.25">
      <c r="A8" s="2" t="s">
        <v>21</v>
      </c>
      <c r="B8" s="3">
        <v>1.6</v>
      </c>
      <c r="C8" s="1" t="s">
        <v>22</v>
      </c>
      <c r="I8" s="1">
        <v>0.49</v>
      </c>
      <c r="J8" s="2" t="s">
        <v>23</v>
      </c>
      <c r="K8" s="3">
        <v>0.4</v>
      </c>
      <c r="L8" s="4">
        <f t="shared" si="0"/>
        <v>-0.51082562376599072</v>
      </c>
      <c r="M8" s="4">
        <f t="shared" si="1"/>
        <v>0.2254033307585166</v>
      </c>
      <c r="O8" s="3">
        <f>(Q4*0.12)/2</f>
        <v>102.36</v>
      </c>
      <c r="P8" s="4">
        <f>ROUND((O8/G7),2)</f>
        <v>0.04</v>
      </c>
    </row>
    <row r="9" spans="1:31" x14ac:dyDescent="0.25">
      <c r="A9" s="2" t="s">
        <v>24</v>
      </c>
      <c r="B9" s="3">
        <v>0.2</v>
      </c>
      <c r="C9" s="1" t="s">
        <v>25</v>
      </c>
      <c r="J9" s="2" t="s">
        <v>26</v>
      </c>
      <c r="K9" s="3">
        <v>0.495</v>
      </c>
      <c r="L9" s="4">
        <f t="shared" si="0"/>
        <v>-0.68319684970677719</v>
      </c>
      <c r="M9" s="4">
        <f t="shared" si="1"/>
        <v>0.28936647982240526</v>
      </c>
      <c r="O9" s="1">
        <v>0</v>
      </c>
    </row>
    <row r="12" spans="1:31" customFormat="1" x14ac:dyDescent="0.25">
      <c r="A12" t="s">
        <v>27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 t="s">
        <v>33</v>
      </c>
      <c r="H12" t="s">
        <v>34</v>
      </c>
      <c r="I12" t="s">
        <v>35</v>
      </c>
      <c r="J12" t="s">
        <v>36</v>
      </c>
      <c r="K12" t="s">
        <v>37</v>
      </c>
      <c r="L12" t="s">
        <v>38</v>
      </c>
      <c r="M12" t="s">
        <v>39</v>
      </c>
      <c r="N12" t="s">
        <v>40</v>
      </c>
      <c r="O12" t="s">
        <v>41</v>
      </c>
      <c r="P12" t="s">
        <v>42</v>
      </c>
      <c r="Q12" t="s">
        <v>43</v>
      </c>
      <c r="R12" t="s">
        <v>44</v>
      </c>
      <c r="S12" t="s">
        <v>45</v>
      </c>
      <c r="T12" t="s">
        <v>46</v>
      </c>
      <c r="U12" t="s">
        <v>47</v>
      </c>
      <c r="V12" t="s">
        <v>48</v>
      </c>
      <c r="W12" t="s">
        <v>49</v>
      </c>
      <c r="X12" t="s">
        <v>50</v>
      </c>
      <c r="Z12" t="s">
        <v>75</v>
      </c>
      <c r="AA12" t="s">
        <v>73</v>
      </c>
      <c r="AB12" t="s">
        <v>74</v>
      </c>
      <c r="AC12" t="s">
        <v>76</v>
      </c>
      <c r="AE12" t="s">
        <v>87</v>
      </c>
    </row>
    <row r="13" spans="1:31" customFormat="1" x14ac:dyDescent="0.25">
      <c r="A13" s="8">
        <v>2024</v>
      </c>
      <c r="B13" s="8">
        <f>ROUND((F5 -(F5*P3)),0)</f>
        <v>1134</v>
      </c>
      <c r="C13" s="8">
        <f>ROUND((G5 - (G5*P4)),0)</f>
        <v>3968</v>
      </c>
      <c r="D13" s="8">
        <f>ROUND((F6 - (F6*P5)),0)</f>
        <v>2015</v>
      </c>
      <c r="E13" s="8">
        <f>ROUND((G6-(G6*P6)),0)</f>
        <v>3126</v>
      </c>
      <c r="F13" s="8">
        <f>ROUND((F7 - (F7*P7)),0)</f>
        <v>1813</v>
      </c>
      <c r="G13" s="8">
        <f>ROUND((G7 - (G7*P8)),0)</f>
        <v>2748</v>
      </c>
      <c r="H13" s="8">
        <f>(B13+C13+D13+E13+F13+G13)</f>
        <v>14804</v>
      </c>
      <c r="I13" s="8">
        <f t="shared" ref="I13:I32" si="4">ROUND((B13-(B13*$M$3)),0)</f>
        <v>1067</v>
      </c>
      <c r="J13" s="8">
        <f>ROUND((C13-(C13*$M$4)),0)</f>
        <v>3764</v>
      </c>
      <c r="K13" s="8">
        <f>ROUND((D13-(D13*$M$5)),0)</f>
        <v>1896</v>
      </c>
      <c r="L13" s="8">
        <f>ROUND((E13-(E13*$M$6)),0)</f>
        <v>3126</v>
      </c>
      <c r="M13" s="8">
        <f>ROUND((F13-(F13*$M$7)),0)</f>
        <v>1295</v>
      </c>
      <c r="N13" s="8">
        <f>ROUND((G13-(G13*$M$8)),0)</f>
        <v>2129</v>
      </c>
      <c r="O13" s="8">
        <f>ROUND((((J13*$B$8) + (L13*$B$9))/2),0)</f>
        <v>3324</v>
      </c>
      <c r="P13" s="8">
        <f>O13</f>
        <v>3324</v>
      </c>
      <c r="Q13" s="8">
        <f t="shared" ref="Q13:Q32" si="5">ROUND(((I13+K13) - ((I13+K13)*$M$3)),0)</f>
        <v>2787</v>
      </c>
      <c r="R13" s="8">
        <f>ROUND(((J13+L13) - ((J13+L13)*$M$4)),0)</f>
        <v>6536</v>
      </c>
      <c r="S13" s="8">
        <f>ROUND((M13-(M13*$M$5)),0)</f>
        <v>1218</v>
      </c>
      <c r="T13" s="8">
        <f>ROUND((N13-(N13*$M$6)),0)</f>
        <v>2129</v>
      </c>
      <c r="U13" s="8">
        <f>ROUND((O13-(O13*$M$9)),0)</f>
        <v>2362</v>
      </c>
      <c r="V13" s="8">
        <f>ROUND((P13-(P13*$M$9)),0)</f>
        <v>2362</v>
      </c>
      <c r="W13" s="8">
        <f>Q13+R13+S13+T13+U13+V13</f>
        <v>17394</v>
      </c>
      <c r="X13" s="8" t="s">
        <v>51</v>
      </c>
      <c r="Z13" s="14">
        <f>SUM(O13,P13)</f>
        <v>6648</v>
      </c>
      <c r="AA13" s="14">
        <f>SUM(F13,G13)</f>
        <v>4561</v>
      </c>
      <c r="AB13" s="14">
        <f>SUM(D13,E13)</f>
        <v>5141</v>
      </c>
      <c r="AC13" s="14">
        <f>SUM(B13,C13)</f>
        <v>5102</v>
      </c>
      <c r="AE13">
        <f>W13-H13</f>
        <v>2590</v>
      </c>
    </row>
    <row r="14" spans="1:31" customFormat="1" x14ac:dyDescent="0.25">
      <c r="A14" s="8">
        <v>2025</v>
      </c>
      <c r="B14" s="9">
        <f t="shared" ref="B14:B32" si="6">ROUND((Q13-(Q13*$P$3)),0)</f>
        <v>920</v>
      </c>
      <c r="C14" s="9">
        <f>ROUND((R13-(R13*$P$4)),0)</f>
        <v>5033</v>
      </c>
      <c r="D14" s="9">
        <f>ROUND((S13-(S13*$P$5)),0)</f>
        <v>1072</v>
      </c>
      <c r="E14" s="9">
        <f>ROUND((T13-(T13*$P$6)),0)</f>
        <v>1937</v>
      </c>
      <c r="F14" s="9">
        <f>ROUND((U13-(U13*$P$7)),0)</f>
        <v>2244</v>
      </c>
      <c r="G14" s="9">
        <f>ROUND((V13-(V13*$P$8)),0)</f>
        <v>2268</v>
      </c>
      <c r="H14" s="9">
        <f>(B14+C14+D14+E14+F14+G14)</f>
        <v>13474</v>
      </c>
      <c r="I14" s="9">
        <f t="shared" si="4"/>
        <v>865</v>
      </c>
      <c r="J14" s="9">
        <f>ROUND((C14-(C14*$M$4)),0)</f>
        <v>4775</v>
      </c>
      <c r="K14" s="9">
        <f>ROUND((D14-(D14*$M$5)),0)</f>
        <v>1008</v>
      </c>
      <c r="L14" s="9">
        <f>ROUND((E14-(E14*$M$6)),0)</f>
        <v>1937</v>
      </c>
      <c r="M14" s="9">
        <f>ROUND((F14-(F14*$M$7)),0)</f>
        <v>1603</v>
      </c>
      <c r="N14" s="9">
        <f>ROUND((G14-(G14*$M$8)),0)</f>
        <v>1757</v>
      </c>
      <c r="O14" s="9">
        <f>ROUND((((J14*$B$8) + (L14*$B$9))/2),0)</f>
        <v>4014</v>
      </c>
      <c r="P14" s="9">
        <f>O14</f>
        <v>4014</v>
      </c>
      <c r="Q14" s="9">
        <f t="shared" si="5"/>
        <v>1762</v>
      </c>
      <c r="R14" s="9">
        <f>ROUND(((J14+L14) - ((J14+L14)*$M$4)),0)</f>
        <v>6368</v>
      </c>
      <c r="S14" s="9">
        <f>ROUND((M14-(M14*$M$5)),0)</f>
        <v>1508</v>
      </c>
      <c r="T14" s="9">
        <f>ROUND((N14-(N14*$M$6)),0)</f>
        <v>1757</v>
      </c>
      <c r="U14" s="9">
        <f>ROUND((O14-(O14*$M$9)),0)</f>
        <v>2852</v>
      </c>
      <c r="V14" s="9">
        <f>ROUND((P14-(P14*$M$9)),0)</f>
        <v>2852</v>
      </c>
      <c r="W14" s="9">
        <f>Q14+R14+S14+T14+U14+V14</f>
        <v>17099</v>
      </c>
      <c r="X14" s="9">
        <f>ROUND((W14/W13),2)</f>
        <v>0.98</v>
      </c>
      <c r="Z14" s="14">
        <f t="shared" ref="Z14:Z32" si="7">SUM(O14,P14)</f>
        <v>8028</v>
      </c>
      <c r="AA14" s="14">
        <f t="shared" ref="AA14:AA32" si="8">SUM(F14,G14)</f>
        <v>4512</v>
      </c>
      <c r="AB14" s="14">
        <f t="shared" ref="AB14:AB32" si="9">SUM(D14,E14)</f>
        <v>3009</v>
      </c>
      <c r="AC14" s="14">
        <f t="shared" ref="AC14:AC32" si="10">SUM(B14,C14)</f>
        <v>5953</v>
      </c>
      <c r="AE14">
        <f t="shared" ref="AE14:AE33" si="11">W14-H14</f>
        <v>3625</v>
      </c>
    </row>
    <row r="15" spans="1:31" x14ac:dyDescent="0.25">
      <c r="A15" s="8">
        <v>2026</v>
      </c>
      <c r="B15" s="10">
        <f t="shared" si="6"/>
        <v>581</v>
      </c>
      <c r="C15" s="10">
        <f t="shared" ref="C15:C32" si="12">ROUND((R14-(R14*$P$4)),0)</f>
        <v>4903</v>
      </c>
      <c r="D15" s="10">
        <f t="shared" ref="D15:D32" si="13">ROUND((S14-(S14*$P$5)),0)</f>
        <v>1327</v>
      </c>
      <c r="E15" s="10">
        <f t="shared" ref="E15:E32" si="14">ROUND((T14-(T14*$P$6)),0)</f>
        <v>1599</v>
      </c>
      <c r="F15" s="10">
        <f t="shared" ref="F15:F32" si="15">ROUND((U14-(U14*$P$7)),0)</f>
        <v>2709</v>
      </c>
      <c r="G15" s="10">
        <f t="shared" ref="G15:G32" si="16">ROUND((V14-(V14*$P$8)),0)</f>
        <v>2738</v>
      </c>
      <c r="H15" s="10">
        <f t="shared" ref="H15:H32" si="17">(B15+C15+D15+E15+F15+G15)</f>
        <v>13857</v>
      </c>
      <c r="I15" s="10">
        <f t="shared" si="4"/>
        <v>547</v>
      </c>
      <c r="J15" s="10">
        <f t="shared" ref="J15:J32" si="18">ROUND((C15-(C15*$M$4)),0)</f>
        <v>4651</v>
      </c>
      <c r="K15" s="10">
        <f t="shared" ref="K15:K32" si="19">ROUND((D15-(D15*$M$5)),0)</f>
        <v>1248</v>
      </c>
      <c r="L15" s="10">
        <f t="shared" ref="L15:L32" si="20">ROUND((E15-(E15*$M$6)),0)</f>
        <v>1599</v>
      </c>
      <c r="M15" s="10">
        <f t="shared" ref="M15:M32" si="21">ROUND((F15-(F15*$M$7)),0)</f>
        <v>1935</v>
      </c>
      <c r="N15" s="10">
        <f t="shared" ref="N15:N32" si="22">ROUND((G15-(G15*$M$8)),0)</f>
        <v>2121</v>
      </c>
      <c r="O15" s="10">
        <f t="shared" ref="O15:O32" si="23">ROUND((((J15*$B$8) + (L15*$B$9))/2),0)</f>
        <v>3881</v>
      </c>
      <c r="P15" s="10">
        <f t="shared" ref="P15:P32" si="24">O15</f>
        <v>3881</v>
      </c>
      <c r="Q15" s="10">
        <f t="shared" si="5"/>
        <v>1689</v>
      </c>
      <c r="R15" s="10">
        <f t="shared" ref="R15:R32" si="25">ROUND(((J15+L15) - ((J15+L15)*$M$4)),0)</f>
        <v>5929</v>
      </c>
      <c r="S15" s="10">
        <f t="shared" ref="S15:S32" si="26">ROUND((M15-(M15*$M$5)),0)</f>
        <v>1820</v>
      </c>
      <c r="T15" s="10">
        <f t="shared" ref="T15:T32" si="27">ROUND((N15-(N15*$M$6)),0)</f>
        <v>2121</v>
      </c>
      <c r="U15" s="10">
        <f t="shared" ref="U15:V32" si="28">ROUND((O15-(O15*$M$9)),0)</f>
        <v>2758</v>
      </c>
      <c r="V15" s="10">
        <f t="shared" si="28"/>
        <v>2758</v>
      </c>
      <c r="W15" s="10">
        <f t="shared" ref="W15:W32" si="29">Q15+R15+S15+T15+U15+V15</f>
        <v>17075</v>
      </c>
      <c r="X15" s="10">
        <f t="shared" ref="X15:X32" si="30">ROUND((W15/W14),2)</f>
        <v>1</v>
      </c>
      <c r="Z15" s="14">
        <f t="shared" si="7"/>
        <v>7762</v>
      </c>
      <c r="AA15" s="14">
        <f t="shared" si="8"/>
        <v>5447</v>
      </c>
      <c r="AB15" s="14">
        <f t="shared" si="9"/>
        <v>2926</v>
      </c>
      <c r="AC15" s="14">
        <f t="shared" si="10"/>
        <v>5484</v>
      </c>
      <c r="AE15">
        <f t="shared" si="11"/>
        <v>3218</v>
      </c>
    </row>
    <row r="16" spans="1:31" x14ac:dyDescent="0.25">
      <c r="A16" s="8">
        <v>2027</v>
      </c>
      <c r="B16" s="10">
        <f t="shared" si="6"/>
        <v>557</v>
      </c>
      <c r="C16" s="10">
        <f t="shared" si="12"/>
        <v>4565</v>
      </c>
      <c r="D16" s="10">
        <f t="shared" si="13"/>
        <v>1602</v>
      </c>
      <c r="E16" s="10">
        <f t="shared" si="14"/>
        <v>1930</v>
      </c>
      <c r="F16" s="10">
        <f t="shared" si="15"/>
        <v>2620</v>
      </c>
      <c r="G16" s="10">
        <f t="shared" si="16"/>
        <v>2648</v>
      </c>
      <c r="H16" s="10">
        <f t="shared" si="17"/>
        <v>13922</v>
      </c>
      <c r="I16" s="10">
        <f t="shared" si="4"/>
        <v>524</v>
      </c>
      <c r="J16" s="10">
        <f t="shared" si="18"/>
        <v>4331</v>
      </c>
      <c r="K16" s="10">
        <f t="shared" si="19"/>
        <v>1507</v>
      </c>
      <c r="L16" s="10">
        <f t="shared" si="20"/>
        <v>1930</v>
      </c>
      <c r="M16" s="10">
        <f t="shared" si="21"/>
        <v>1871</v>
      </c>
      <c r="N16" s="10">
        <f t="shared" si="22"/>
        <v>2051</v>
      </c>
      <c r="O16" s="10">
        <f t="shared" si="23"/>
        <v>3658</v>
      </c>
      <c r="P16" s="10">
        <f t="shared" si="24"/>
        <v>3658</v>
      </c>
      <c r="Q16" s="10">
        <f t="shared" si="5"/>
        <v>1911</v>
      </c>
      <c r="R16" s="10">
        <f t="shared" si="25"/>
        <v>5940</v>
      </c>
      <c r="S16" s="10">
        <f t="shared" si="26"/>
        <v>1760</v>
      </c>
      <c r="T16" s="10">
        <f t="shared" si="27"/>
        <v>2051</v>
      </c>
      <c r="U16" s="10">
        <f t="shared" si="28"/>
        <v>2599</v>
      </c>
      <c r="V16" s="10">
        <f t="shared" si="28"/>
        <v>2599</v>
      </c>
      <c r="W16" s="10">
        <f t="shared" si="29"/>
        <v>16860</v>
      </c>
      <c r="X16" s="10">
        <f t="shared" si="30"/>
        <v>0.99</v>
      </c>
      <c r="Z16" s="14">
        <f t="shared" si="7"/>
        <v>7316</v>
      </c>
      <c r="AA16" s="14">
        <f t="shared" si="8"/>
        <v>5268</v>
      </c>
      <c r="AB16" s="14">
        <f t="shared" si="9"/>
        <v>3532</v>
      </c>
      <c r="AC16" s="14">
        <f t="shared" si="10"/>
        <v>5122</v>
      </c>
      <c r="AE16">
        <f t="shared" si="11"/>
        <v>2938</v>
      </c>
    </row>
    <row r="17" spans="1:31" x14ac:dyDescent="0.25">
      <c r="A17" s="8">
        <v>2028</v>
      </c>
      <c r="B17" s="10">
        <f t="shared" si="6"/>
        <v>631</v>
      </c>
      <c r="C17" s="10">
        <f t="shared" si="12"/>
        <v>4574</v>
      </c>
      <c r="D17" s="10">
        <f t="shared" si="13"/>
        <v>1549</v>
      </c>
      <c r="E17" s="10">
        <f t="shared" si="14"/>
        <v>1866</v>
      </c>
      <c r="F17" s="10">
        <f t="shared" si="15"/>
        <v>2469</v>
      </c>
      <c r="G17" s="10">
        <f t="shared" si="16"/>
        <v>2495</v>
      </c>
      <c r="H17" s="10">
        <f t="shared" si="17"/>
        <v>13584</v>
      </c>
      <c r="I17" s="10">
        <f t="shared" si="4"/>
        <v>594</v>
      </c>
      <c r="J17" s="10">
        <f t="shared" si="18"/>
        <v>4339</v>
      </c>
      <c r="K17" s="10">
        <f t="shared" si="19"/>
        <v>1457</v>
      </c>
      <c r="L17" s="10">
        <f t="shared" si="20"/>
        <v>1866</v>
      </c>
      <c r="M17" s="10">
        <f t="shared" si="21"/>
        <v>1763</v>
      </c>
      <c r="N17" s="10">
        <f t="shared" si="22"/>
        <v>1933</v>
      </c>
      <c r="O17" s="10">
        <f t="shared" si="23"/>
        <v>3658</v>
      </c>
      <c r="P17" s="10">
        <f t="shared" si="24"/>
        <v>3658</v>
      </c>
      <c r="Q17" s="10">
        <f t="shared" si="5"/>
        <v>1929</v>
      </c>
      <c r="R17" s="10">
        <f t="shared" si="25"/>
        <v>5887</v>
      </c>
      <c r="S17" s="10">
        <f t="shared" si="26"/>
        <v>1659</v>
      </c>
      <c r="T17" s="10">
        <f t="shared" si="27"/>
        <v>1933</v>
      </c>
      <c r="U17" s="10">
        <f t="shared" si="28"/>
        <v>2599</v>
      </c>
      <c r="V17" s="10">
        <f t="shared" si="28"/>
        <v>2599</v>
      </c>
      <c r="W17" s="10">
        <f t="shared" si="29"/>
        <v>16606</v>
      </c>
      <c r="X17" s="10">
        <f t="shared" si="30"/>
        <v>0.98</v>
      </c>
      <c r="Z17" s="14">
        <f t="shared" si="7"/>
        <v>7316</v>
      </c>
      <c r="AA17" s="14">
        <f t="shared" si="8"/>
        <v>4964</v>
      </c>
      <c r="AB17" s="14">
        <f t="shared" si="9"/>
        <v>3415</v>
      </c>
      <c r="AC17" s="14">
        <f t="shared" si="10"/>
        <v>5205</v>
      </c>
      <c r="AE17">
        <f t="shared" si="11"/>
        <v>3022</v>
      </c>
    </row>
    <row r="18" spans="1:31" x14ac:dyDescent="0.25">
      <c r="A18" s="8">
        <v>2029</v>
      </c>
      <c r="B18" s="10">
        <f t="shared" si="6"/>
        <v>637</v>
      </c>
      <c r="C18" s="10">
        <f t="shared" si="12"/>
        <v>4533</v>
      </c>
      <c r="D18" s="10">
        <f t="shared" si="13"/>
        <v>1460</v>
      </c>
      <c r="E18" s="10">
        <f t="shared" si="14"/>
        <v>1759</v>
      </c>
      <c r="F18" s="10">
        <f t="shared" si="15"/>
        <v>2469</v>
      </c>
      <c r="G18" s="10">
        <f t="shared" si="16"/>
        <v>2495</v>
      </c>
      <c r="H18" s="10">
        <f t="shared" si="17"/>
        <v>13353</v>
      </c>
      <c r="I18" s="10">
        <f t="shared" si="4"/>
        <v>599</v>
      </c>
      <c r="J18" s="10">
        <f t="shared" si="18"/>
        <v>4300</v>
      </c>
      <c r="K18" s="10">
        <f t="shared" si="19"/>
        <v>1373</v>
      </c>
      <c r="L18" s="10">
        <f t="shared" si="20"/>
        <v>1759</v>
      </c>
      <c r="M18" s="10">
        <f t="shared" si="21"/>
        <v>1763</v>
      </c>
      <c r="N18" s="10">
        <f t="shared" si="22"/>
        <v>1933</v>
      </c>
      <c r="O18" s="10">
        <f t="shared" si="23"/>
        <v>3616</v>
      </c>
      <c r="P18" s="10">
        <f t="shared" si="24"/>
        <v>3616</v>
      </c>
      <c r="Q18" s="10">
        <f t="shared" si="5"/>
        <v>1855</v>
      </c>
      <c r="R18" s="10">
        <f t="shared" si="25"/>
        <v>5748</v>
      </c>
      <c r="S18" s="10">
        <f t="shared" si="26"/>
        <v>1659</v>
      </c>
      <c r="T18" s="10">
        <f t="shared" si="27"/>
        <v>1933</v>
      </c>
      <c r="U18" s="10">
        <f t="shared" si="28"/>
        <v>2570</v>
      </c>
      <c r="V18" s="10">
        <f t="shared" si="28"/>
        <v>2570</v>
      </c>
      <c r="W18" s="10">
        <f t="shared" si="29"/>
        <v>16335</v>
      </c>
      <c r="X18" s="10">
        <f t="shared" si="30"/>
        <v>0.98</v>
      </c>
      <c r="Z18" s="14">
        <f t="shared" si="7"/>
        <v>7232</v>
      </c>
      <c r="AA18" s="14">
        <f t="shared" si="8"/>
        <v>4964</v>
      </c>
      <c r="AB18" s="14">
        <f t="shared" si="9"/>
        <v>3219</v>
      </c>
      <c r="AC18" s="14">
        <f t="shared" si="10"/>
        <v>5170</v>
      </c>
      <c r="AE18">
        <f t="shared" si="11"/>
        <v>2982</v>
      </c>
    </row>
    <row r="19" spans="1:31" x14ac:dyDescent="0.25">
      <c r="A19" s="8">
        <v>2030</v>
      </c>
      <c r="B19" s="10">
        <f t="shared" si="6"/>
        <v>612</v>
      </c>
      <c r="C19" s="10">
        <f t="shared" si="12"/>
        <v>4426</v>
      </c>
      <c r="D19" s="10">
        <f t="shared" si="13"/>
        <v>1460</v>
      </c>
      <c r="E19" s="10">
        <f t="shared" si="14"/>
        <v>1759</v>
      </c>
      <c r="F19" s="10">
        <f t="shared" si="15"/>
        <v>2442</v>
      </c>
      <c r="G19" s="10">
        <f t="shared" si="16"/>
        <v>2467</v>
      </c>
      <c r="H19" s="10">
        <f t="shared" si="17"/>
        <v>13166</v>
      </c>
      <c r="I19" s="10">
        <f t="shared" si="4"/>
        <v>576</v>
      </c>
      <c r="J19" s="10">
        <f t="shared" si="18"/>
        <v>4199</v>
      </c>
      <c r="K19" s="10">
        <f t="shared" si="19"/>
        <v>1373</v>
      </c>
      <c r="L19" s="10">
        <f t="shared" si="20"/>
        <v>1759</v>
      </c>
      <c r="M19" s="10">
        <f t="shared" si="21"/>
        <v>1744</v>
      </c>
      <c r="N19" s="10">
        <f t="shared" si="22"/>
        <v>1911</v>
      </c>
      <c r="O19" s="10">
        <f t="shared" si="23"/>
        <v>3535</v>
      </c>
      <c r="P19" s="10">
        <f t="shared" si="24"/>
        <v>3535</v>
      </c>
      <c r="Q19" s="10">
        <f t="shared" si="5"/>
        <v>1834</v>
      </c>
      <c r="R19" s="10">
        <f t="shared" si="25"/>
        <v>5652</v>
      </c>
      <c r="S19" s="10">
        <f t="shared" si="26"/>
        <v>1641</v>
      </c>
      <c r="T19" s="10">
        <f t="shared" si="27"/>
        <v>1911</v>
      </c>
      <c r="U19" s="10">
        <f t="shared" si="28"/>
        <v>2512</v>
      </c>
      <c r="V19" s="10">
        <f t="shared" si="28"/>
        <v>2512</v>
      </c>
      <c r="W19" s="10">
        <f t="shared" si="29"/>
        <v>16062</v>
      </c>
      <c r="X19" s="10">
        <f t="shared" si="30"/>
        <v>0.98</v>
      </c>
      <c r="Z19" s="14">
        <f t="shared" si="7"/>
        <v>7070</v>
      </c>
      <c r="AA19" s="14">
        <f t="shared" si="8"/>
        <v>4909</v>
      </c>
      <c r="AB19" s="14">
        <f t="shared" si="9"/>
        <v>3219</v>
      </c>
      <c r="AC19" s="14">
        <f t="shared" si="10"/>
        <v>5038</v>
      </c>
      <c r="AE19">
        <f t="shared" si="11"/>
        <v>2896</v>
      </c>
    </row>
    <row r="20" spans="1:31" x14ac:dyDescent="0.25">
      <c r="A20" s="8">
        <v>2031</v>
      </c>
      <c r="B20" s="10">
        <f t="shared" si="6"/>
        <v>605</v>
      </c>
      <c r="C20" s="10">
        <f t="shared" si="12"/>
        <v>4352</v>
      </c>
      <c r="D20" s="10">
        <f t="shared" si="13"/>
        <v>1444</v>
      </c>
      <c r="E20" s="10">
        <f t="shared" si="14"/>
        <v>1739</v>
      </c>
      <c r="F20" s="10">
        <f t="shared" si="15"/>
        <v>2386</v>
      </c>
      <c r="G20" s="10">
        <f t="shared" si="16"/>
        <v>2412</v>
      </c>
      <c r="H20" s="10">
        <f t="shared" si="17"/>
        <v>12938</v>
      </c>
      <c r="I20" s="10">
        <f t="shared" si="4"/>
        <v>569</v>
      </c>
      <c r="J20" s="10">
        <f t="shared" si="18"/>
        <v>4129</v>
      </c>
      <c r="K20" s="10">
        <f t="shared" si="19"/>
        <v>1358</v>
      </c>
      <c r="L20" s="10">
        <f t="shared" si="20"/>
        <v>1739</v>
      </c>
      <c r="M20" s="10">
        <f t="shared" si="21"/>
        <v>1704</v>
      </c>
      <c r="N20" s="10">
        <f t="shared" si="22"/>
        <v>1868</v>
      </c>
      <c r="O20" s="10">
        <f t="shared" si="23"/>
        <v>3477</v>
      </c>
      <c r="P20" s="10">
        <f t="shared" si="24"/>
        <v>3477</v>
      </c>
      <c r="Q20" s="10">
        <f t="shared" si="5"/>
        <v>1813</v>
      </c>
      <c r="R20" s="10">
        <f t="shared" si="25"/>
        <v>5567</v>
      </c>
      <c r="S20" s="10">
        <f t="shared" si="26"/>
        <v>1603</v>
      </c>
      <c r="T20" s="10">
        <f t="shared" si="27"/>
        <v>1868</v>
      </c>
      <c r="U20" s="10">
        <f t="shared" si="28"/>
        <v>2471</v>
      </c>
      <c r="V20" s="10">
        <f t="shared" si="28"/>
        <v>2471</v>
      </c>
      <c r="W20" s="10">
        <f t="shared" si="29"/>
        <v>15793</v>
      </c>
      <c r="X20" s="10">
        <f t="shared" si="30"/>
        <v>0.98</v>
      </c>
      <c r="Z20" s="14">
        <f t="shared" si="7"/>
        <v>6954</v>
      </c>
      <c r="AA20" s="14">
        <f t="shared" si="8"/>
        <v>4798</v>
      </c>
      <c r="AB20" s="14">
        <f t="shared" si="9"/>
        <v>3183</v>
      </c>
      <c r="AC20" s="14">
        <f t="shared" si="10"/>
        <v>4957</v>
      </c>
      <c r="AE20">
        <f t="shared" si="11"/>
        <v>2855</v>
      </c>
    </row>
    <row r="21" spans="1:31" x14ac:dyDescent="0.25">
      <c r="A21" s="8">
        <v>2032</v>
      </c>
      <c r="B21" s="10">
        <f t="shared" si="6"/>
        <v>598</v>
      </c>
      <c r="C21" s="10">
        <f t="shared" si="12"/>
        <v>4287</v>
      </c>
      <c r="D21" s="10">
        <f t="shared" si="13"/>
        <v>1411</v>
      </c>
      <c r="E21" s="10">
        <f t="shared" si="14"/>
        <v>1700</v>
      </c>
      <c r="F21" s="10">
        <f t="shared" si="15"/>
        <v>2347</v>
      </c>
      <c r="G21" s="10">
        <f t="shared" si="16"/>
        <v>2372</v>
      </c>
      <c r="H21" s="10">
        <f t="shared" si="17"/>
        <v>12715</v>
      </c>
      <c r="I21" s="10">
        <f t="shared" si="4"/>
        <v>563</v>
      </c>
      <c r="J21" s="10">
        <f t="shared" si="18"/>
        <v>4067</v>
      </c>
      <c r="K21" s="10">
        <f t="shared" si="19"/>
        <v>1327</v>
      </c>
      <c r="L21" s="10">
        <f t="shared" si="20"/>
        <v>1700</v>
      </c>
      <c r="M21" s="10">
        <f t="shared" si="21"/>
        <v>1676</v>
      </c>
      <c r="N21" s="10">
        <f t="shared" si="22"/>
        <v>1837</v>
      </c>
      <c r="O21" s="10">
        <f t="shared" si="23"/>
        <v>3424</v>
      </c>
      <c r="P21" s="10">
        <f t="shared" si="24"/>
        <v>3424</v>
      </c>
      <c r="Q21" s="10">
        <f t="shared" si="5"/>
        <v>1778</v>
      </c>
      <c r="R21" s="10">
        <f t="shared" si="25"/>
        <v>5471</v>
      </c>
      <c r="S21" s="10">
        <f t="shared" si="26"/>
        <v>1577</v>
      </c>
      <c r="T21" s="10">
        <f t="shared" si="27"/>
        <v>1837</v>
      </c>
      <c r="U21" s="10">
        <f t="shared" si="28"/>
        <v>2433</v>
      </c>
      <c r="V21" s="10">
        <f t="shared" si="28"/>
        <v>2433</v>
      </c>
      <c r="W21" s="10">
        <f t="shared" si="29"/>
        <v>15529</v>
      </c>
      <c r="X21" s="10">
        <f t="shared" si="30"/>
        <v>0.98</v>
      </c>
      <c r="Z21" s="14">
        <f t="shared" si="7"/>
        <v>6848</v>
      </c>
      <c r="AA21" s="14">
        <f t="shared" si="8"/>
        <v>4719</v>
      </c>
      <c r="AB21" s="14">
        <f t="shared" si="9"/>
        <v>3111</v>
      </c>
      <c r="AC21" s="14">
        <f t="shared" si="10"/>
        <v>4885</v>
      </c>
      <c r="AE21">
        <f t="shared" si="11"/>
        <v>2814</v>
      </c>
    </row>
    <row r="22" spans="1:31" x14ac:dyDescent="0.25">
      <c r="A22" s="8">
        <v>2033</v>
      </c>
      <c r="B22" s="10">
        <f t="shared" si="6"/>
        <v>587</v>
      </c>
      <c r="C22" s="10">
        <f t="shared" si="12"/>
        <v>4213</v>
      </c>
      <c r="D22" s="10">
        <f t="shared" si="13"/>
        <v>1388</v>
      </c>
      <c r="E22" s="10">
        <f t="shared" si="14"/>
        <v>1672</v>
      </c>
      <c r="F22" s="10">
        <f t="shared" si="15"/>
        <v>2311</v>
      </c>
      <c r="G22" s="10">
        <f t="shared" si="16"/>
        <v>2336</v>
      </c>
      <c r="H22" s="10">
        <f t="shared" si="17"/>
        <v>12507</v>
      </c>
      <c r="I22" s="10">
        <f t="shared" si="4"/>
        <v>552</v>
      </c>
      <c r="J22" s="10">
        <f t="shared" si="18"/>
        <v>3997</v>
      </c>
      <c r="K22" s="10">
        <f t="shared" si="19"/>
        <v>1306</v>
      </c>
      <c r="L22" s="10">
        <f t="shared" si="20"/>
        <v>1672</v>
      </c>
      <c r="M22" s="10">
        <f t="shared" si="21"/>
        <v>1650</v>
      </c>
      <c r="N22" s="10">
        <f t="shared" si="22"/>
        <v>1809</v>
      </c>
      <c r="O22" s="10">
        <f t="shared" si="23"/>
        <v>3365</v>
      </c>
      <c r="P22" s="10">
        <f t="shared" si="24"/>
        <v>3365</v>
      </c>
      <c r="Q22" s="10">
        <f t="shared" si="5"/>
        <v>1748</v>
      </c>
      <c r="R22" s="10">
        <f t="shared" si="25"/>
        <v>5378</v>
      </c>
      <c r="S22" s="10">
        <f t="shared" si="26"/>
        <v>1552</v>
      </c>
      <c r="T22" s="10">
        <f t="shared" si="27"/>
        <v>1809</v>
      </c>
      <c r="U22" s="10">
        <f t="shared" si="28"/>
        <v>2391</v>
      </c>
      <c r="V22" s="10">
        <f t="shared" si="28"/>
        <v>2391</v>
      </c>
      <c r="W22" s="10">
        <f t="shared" si="29"/>
        <v>15269</v>
      </c>
      <c r="X22" s="10">
        <f t="shared" si="30"/>
        <v>0.98</v>
      </c>
      <c r="Z22" s="14">
        <f t="shared" si="7"/>
        <v>6730</v>
      </c>
      <c r="AA22" s="14">
        <f t="shared" si="8"/>
        <v>4647</v>
      </c>
      <c r="AB22" s="14">
        <f t="shared" si="9"/>
        <v>3060</v>
      </c>
      <c r="AC22" s="14">
        <f t="shared" si="10"/>
        <v>4800</v>
      </c>
      <c r="AE22">
        <f t="shared" si="11"/>
        <v>2762</v>
      </c>
    </row>
    <row r="23" spans="1:31" x14ac:dyDescent="0.25">
      <c r="A23" s="8">
        <v>2034</v>
      </c>
      <c r="B23" s="10">
        <f t="shared" si="6"/>
        <v>577</v>
      </c>
      <c r="C23" s="10">
        <f t="shared" si="12"/>
        <v>4141</v>
      </c>
      <c r="D23" s="10">
        <f t="shared" si="13"/>
        <v>1366</v>
      </c>
      <c r="E23" s="10">
        <f t="shared" si="14"/>
        <v>1646</v>
      </c>
      <c r="F23" s="10">
        <f t="shared" si="15"/>
        <v>2271</v>
      </c>
      <c r="G23" s="10">
        <f t="shared" si="16"/>
        <v>2295</v>
      </c>
      <c r="H23" s="10">
        <f t="shared" si="17"/>
        <v>12296</v>
      </c>
      <c r="I23" s="10">
        <f t="shared" si="4"/>
        <v>543</v>
      </c>
      <c r="J23" s="10">
        <f t="shared" si="18"/>
        <v>3928</v>
      </c>
      <c r="K23" s="10">
        <f t="shared" si="19"/>
        <v>1285</v>
      </c>
      <c r="L23" s="10">
        <f t="shared" si="20"/>
        <v>1646</v>
      </c>
      <c r="M23" s="10">
        <f t="shared" si="21"/>
        <v>1622</v>
      </c>
      <c r="N23" s="10">
        <f t="shared" si="22"/>
        <v>1778</v>
      </c>
      <c r="O23" s="10">
        <f t="shared" si="23"/>
        <v>3307</v>
      </c>
      <c r="P23" s="10">
        <f t="shared" si="24"/>
        <v>3307</v>
      </c>
      <c r="Q23" s="10">
        <f t="shared" si="5"/>
        <v>1720</v>
      </c>
      <c r="R23" s="10">
        <f t="shared" si="25"/>
        <v>5288</v>
      </c>
      <c r="S23" s="10">
        <f t="shared" si="26"/>
        <v>1526</v>
      </c>
      <c r="T23" s="10">
        <f t="shared" si="27"/>
        <v>1778</v>
      </c>
      <c r="U23" s="10">
        <f t="shared" si="28"/>
        <v>2350</v>
      </c>
      <c r="V23" s="10">
        <f t="shared" si="28"/>
        <v>2350</v>
      </c>
      <c r="W23" s="10">
        <f t="shared" si="29"/>
        <v>15012</v>
      </c>
      <c r="X23" s="10">
        <f t="shared" si="30"/>
        <v>0.98</v>
      </c>
      <c r="Z23" s="14">
        <f t="shared" si="7"/>
        <v>6614</v>
      </c>
      <c r="AA23" s="14">
        <f t="shared" si="8"/>
        <v>4566</v>
      </c>
      <c r="AB23" s="14">
        <f t="shared" si="9"/>
        <v>3012</v>
      </c>
      <c r="AC23" s="14">
        <f t="shared" si="10"/>
        <v>4718</v>
      </c>
      <c r="AE23">
        <f t="shared" si="11"/>
        <v>2716</v>
      </c>
    </row>
    <row r="24" spans="1:31" x14ac:dyDescent="0.25">
      <c r="A24" s="8">
        <v>2035</v>
      </c>
      <c r="B24" s="10">
        <f t="shared" si="6"/>
        <v>568</v>
      </c>
      <c r="C24" s="10">
        <f t="shared" si="12"/>
        <v>4072</v>
      </c>
      <c r="D24" s="10">
        <f t="shared" si="13"/>
        <v>1343</v>
      </c>
      <c r="E24" s="10">
        <f t="shared" si="14"/>
        <v>1618</v>
      </c>
      <c r="F24" s="10">
        <f t="shared" si="15"/>
        <v>2233</v>
      </c>
      <c r="G24" s="10">
        <f t="shared" si="16"/>
        <v>2256</v>
      </c>
      <c r="H24" s="10">
        <f t="shared" si="17"/>
        <v>12090</v>
      </c>
      <c r="I24" s="10">
        <f t="shared" si="4"/>
        <v>534</v>
      </c>
      <c r="J24" s="10">
        <f t="shared" si="18"/>
        <v>3863</v>
      </c>
      <c r="K24" s="10">
        <f t="shared" si="19"/>
        <v>1263</v>
      </c>
      <c r="L24" s="10">
        <f t="shared" si="20"/>
        <v>1618</v>
      </c>
      <c r="M24" s="10">
        <f t="shared" si="21"/>
        <v>1595</v>
      </c>
      <c r="N24" s="10">
        <f t="shared" si="22"/>
        <v>1747</v>
      </c>
      <c r="O24" s="10">
        <f t="shared" si="23"/>
        <v>3252</v>
      </c>
      <c r="P24" s="10">
        <f t="shared" si="24"/>
        <v>3252</v>
      </c>
      <c r="Q24" s="10">
        <f t="shared" si="5"/>
        <v>1691</v>
      </c>
      <c r="R24" s="10">
        <f t="shared" si="25"/>
        <v>5200</v>
      </c>
      <c r="S24" s="10">
        <f t="shared" si="26"/>
        <v>1500</v>
      </c>
      <c r="T24" s="10">
        <f t="shared" si="27"/>
        <v>1747</v>
      </c>
      <c r="U24" s="10">
        <f t="shared" si="28"/>
        <v>2311</v>
      </c>
      <c r="V24" s="10">
        <f t="shared" si="28"/>
        <v>2311</v>
      </c>
      <c r="W24" s="10">
        <f t="shared" si="29"/>
        <v>14760</v>
      </c>
      <c r="X24" s="10">
        <f t="shared" si="30"/>
        <v>0.98</v>
      </c>
      <c r="Z24" s="14">
        <f t="shared" si="7"/>
        <v>6504</v>
      </c>
      <c r="AA24" s="14">
        <f t="shared" si="8"/>
        <v>4489</v>
      </c>
      <c r="AB24" s="14">
        <f t="shared" si="9"/>
        <v>2961</v>
      </c>
      <c r="AC24" s="14">
        <f t="shared" si="10"/>
        <v>4640</v>
      </c>
      <c r="AE24">
        <f t="shared" si="11"/>
        <v>2670</v>
      </c>
    </row>
    <row r="25" spans="1:31" x14ac:dyDescent="0.25">
      <c r="A25" s="8">
        <v>2036</v>
      </c>
      <c r="B25" s="10">
        <f t="shared" si="6"/>
        <v>558</v>
      </c>
      <c r="C25" s="10">
        <f t="shared" si="12"/>
        <v>4004</v>
      </c>
      <c r="D25" s="10">
        <f t="shared" si="13"/>
        <v>1320</v>
      </c>
      <c r="E25" s="10">
        <f t="shared" si="14"/>
        <v>1590</v>
      </c>
      <c r="F25" s="10">
        <f t="shared" si="15"/>
        <v>2195</v>
      </c>
      <c r="G25" s="10">
        <f t="shared" si="16"/>
        <v>2219</v>
      </c>
      <c r="H25" s="10">
        <f t="shared" si="17"/>
        <v>11886</v>
      </c>
      <c r="I25" s="10">
        <f t="shared" si="4"/>
        <v>525</v>
      </c>
      <c r="J25" s="10">
        <f t="shared" si="18"/>
        <v>3799</v>
      </c>
      <c r="K25" s="10">
        <f t="shared" si="19"/>
        <v>1242</v>
      </c>
      <c r="L25" s="10">
        <f t="shared" si="20"/>
        <v>1590</v>
      </c>
      <c r="M25" s="10">
        <f t="shared" si="21"/>
        <v>1568</v>
      </c>
      <c r="N25" s="10">
        <f t="shared" si="22"/>
        <v>1719</v>
      </c>
      <c r="O25" s="10">
        <f t="shared" si="23"/>
        <v>3198</v>
      </c>
      <c r="P25" s="10">
        <f t="shared" si="24"/>
        <v>3198</v>
      </c>
      <c r="Q25" s="10">
        <f t="shared" si="5"/>
        <v>1662</v>
      </c>
      <c r="R25" s="10">
        <f t="shared" si="25"/>
        <v>5112</v>
      </c>
      <c r="S25" s="10">
        <f t="shared" si="26"/>
        <v>1475</v>
      </c>
      <c r="T25" s="10">
        <f t="shared" si="27"/>
        <v>1719</v>
      </c>
      <c r="U25" s="10">
        <f t="shared" si="28"/>
        <v>2273</v>
      </c>
      <c r="V25" s="10">
        <f t="shared" si="28"/>
        <v>2273</v>
      </c>
      <c r="W25" s="10">
        <f t="shared" si="29"/>
        <v>14514</v>
      </c>
      <c r="X25" s="10">
        <f t="shared" si="30"/>
        <v>0.98</v>
      </c>
      <c r="Z25" s="14">
        <f t="shared" si="7"/>
        <v>6396</v>
      </c>
      <c r="AA25" s="14">
        <f t="shared" si="8"/>
        <v>4414</v>
      </c>
      <c r="AB25" s="14">
        <f t="shared" si="9"/>
        <v>2910</v>
      </c>
      <c r="AC25" s="14">
        <f t="shared" si="10"/>
        <v>4562</v>
      </c>
      <c r="AE25">
        <f t="shared" si="11"/>
        <v>2628</v>
      </c>
    </row>
    <row r="26" spans="1:31" x14ac:dyDescent="0.25">
      <c r="A26" s="8">
        <v>2037</v>
      </c>
      <c r="B26" s="10">
        <f t="shared" si="6"/>
        <v>548</v>
      </c>
      <c r="C26" s="10">
        <f t="shared" si="12"/>
        <v>3936</v>
      </c>
      <c r="D26" s="10">
        <f t="shared" si="13"/>
        <v>1298</v>
      </c>
      <c r="E26" s="10">
        <f t="shared" si="14"/>
        <v>1564</v>
      </c>
      <c r="F26" s="10">
        <f t="shared" si="15"/>
        <v>2159</v>
      </c>
      <c r="G26" s="10">
        <f t="shared" si="16"/>
        <v>2182</v>
      </c>
      <c r="H26" s="10">
        <f t="shared" si="17"/>
        <v>11687</v>
      </c>
      <c r="I26" s="10">
        <f t="shared" si="4"/>
        <v>516</v>
      </c>
      <c r="J26" s="10">
        <f t="shared" si="18"/>
        <v>3734</v>
      </c>
      <c r="K26" s="10">
        <f t="shared" si="19"/>
        <v>1221</v>
      </c>
      <c r="L26" s="10">
        <f t="shared" si="20"/>
        <v>1564</v>
      </c>
      <c r="M26" s="10">
        <f t="shared" si="21"/>
        <v>1542</v>
      </c>
      <c r="N26" s="10">
        <f t="shared" si="22"/>
        <v>1690</v>
      </c>
      <c r="O26" s="10">
        <f t="shared" si="23"/>
        <v>3144</v>
      </c>
      <c r="P26" s="10">
        <f t="shared" si="24"/>
        <v>3144</v>
      </c>
      <c r="Q26" s="10">
        <f t="shared" si="5"/>
        <v>1634</v>
      </c>
      <c r="R26" s="10">
        <f t="shared" si="25"/>
        <v>5026</v>
      </c>
      <c r="S26" s="10">
        <f t="shared" si="26"/>
        <v>1451</v>
      </c>
      <c r="T26" s="10">
        <f t="shared" si="27"/>
        <v>1690</v>
      </c>
      <c r="U26" s="10">
        <f t="shared" si="28"/>
        <v>2234</v>
      </c>
      <c r="V26" s="10">
        <f t="shared" si="28"/>
        <v>2234</v>
      </c>
      <c r="W26" s="10">
        <f t="shared" si="29"/>
        <v>14269</v>
      </c>
      <c r="X26" s="10">
        <f t="shared" si="30"/>
        <v>0.98</v>
      </c>
      <c r="Z26" s="14">
        <f t="shared" si="7"/>
        <v>6288</v>
      </c>
      <c r="AA26" s="14">
        <f t="shared" si="8"/>
        <v>4341</v>
      </c>
      <c r="AB26" s="14">
        <f t="shared" si="9"/>
        <v>2862</v>
      </c>
      <c r="AC26" s="14">
        <f t="shared" si="10"/>
        <v>4484</v>
      </c>
      <c r="AE26">
        <f t="shared" si="11"/>
        <v>2582</v>
      </c>
    </row>
    <row r="27" spans="1:31" x14ac:dyDescent="0.25">
      <c r="A27" s="8">
        <v>2038</v>
      </c>
      <c r="B27" s="10">
        <f t="shared" si="6"/>
        <v>539</v>
      </c>
      <c r="C27" s="10">
        <f t="shared" si="12"/>
        <v>3870</v>
      </c>
      <c r="D27" s="10">
        <f t="shared" si="13"/>
        <v>1277</v>
      </c>
      <c r="E27" s="10">
        <f t="shared" si="14"/>
        <v>1538</v>
      </c>
      <c r="F27" s="10">
        <f t="shared" si="15"/>
        <v>2122</v>
      </c>
      <c r="G27" s="10">
        <f t="shared" si="16"/>
        <v>2145</v>
      </c>
      <c r="H27" s="10">
        <f t="shared" si="17"/>
        <v>11491</v>
      </c>
      <c r="I27" s="10">
        <f t="shared" si="4"/>
        <v>507</v>
      </c>
      <c r="J27" s="10">
        <f t="shared" si="18"/>
        <v>3671</v>
      </c>
      <c r="K27" s="10">
        <f t="shared" si="19"/>
        <v>1201</v>
      </c>
      <c r="L27" s="10">
        <f t="shared" si="20"/>
        <v>1538</v>
      </c>
      <c r="M27" s="10">
        <f t="shared" si="21"/>
        <v>1515</v>
      </c>
      <c r="N27" s="10">
        <f t="shared" si="22"/>
        <v>1662</v>
      </c>
      <c r="O27" s="10">
        <f t="shared" si="23"/>
        <v>3091</v>
      </c>
      <c r="P27" s="10">
        <f t="shared" si="24"/>
        <v>3091</v>
      </c>
      <c r="Q27" s="10">
        <f t="shared" si="5"/>
        <v>1607</v>
      </c>
      <c r="R27" s="10">
        <f t="shared" si="25"/>
        <v>4942</v>
      </c>
      <c r="S27" s="10">
        <f t="shared" si="26"/>
        <v>1425</v>
      </c>
      <c r="T27" s="10">
        <f t="shared" si="27"/>
        <v>1662</v>
      </c>
      <c r="U27" s="10">
        <f t="shared" si="28"/>
        <v>2197</v>
      </c>
      <c r="V27" s="10">
        <f t="shared" si="28"/>
        <v>2197</v>
      </c>
      <c r="W27" s="10">
        <f t="shared" si="29"/>
        <v>14030</v>
      </c>
      <c r="X27" s="10">
        <f t="shared" si="30"/>
        <v>0.98</v>
      </c>
      <c r="Z27" s="14">
        <f t="shared" si="7"/>
        <v>6182</v>
      </c>
      <c r="AA27" s="14">
        <f t="shared" si="8"/>
        <v>4267</v>
      </c>
      <c r="AB27" s="14">
        <f t="shared" si="9"/>
        <v>2815</v>
      </c>
      <c r="AC27" s="14">
        <f t="shared" si="10"/>
        <v>4409</v>
      </c>
      <c r="AE27">
        <f t="shared" si="11"/>
        <v>2539</v>
      </c>
    </row>
    <row r="28" spans="1:31" x14ac:dyDescent="0.25">
      <c r="A28" s="8">
        <v>2039</v>
      </c>
      <c r="B28" s="10">
        <f t="shared" si="6"/>
        <v>530</v>
      </c>
      <c r="C28" s="10">
        <f t="shared" si="12"/>
        <v>3805</v>
      </c>
      <c r="D28" s="10">
        <f t="shared" si="13"/>
        <v>1254</v>
      </c>
      <c r="E28" s="10">
        <f t="shared" si="14"/>
        <v>1512</v>
      </c>
      <c r="F28" s="10">
        <f t="shared" si="15"/>
        <v>2087</v>
      </c>
      <c r="G28" s="10">
        <f t="shared" si="16"/>
        <v>2109</v>
      </c>
      <c r="H28" s="10">
        <f t="shared" si="17"/>
        <v>11297</v>
      </c>
      <c r="I28" s="10">
        <f t="shared" si="4"/>
        <v>499</v>
      </c>
      <c r="J28" s="10">
        <f t="shared" si="18"/>
        <v>3610</v>
      </c>
      <c r="K28" s="10">
        <f t="shared" si="19"/>
        <v>1180</v>
      </c>
      <c r="L28" s="10">
        <f t="shared" si="20"/>
        <v>1512</v>
      </c>
      <c r="M28" s="10">
        <f t="shared" si="21"/>
        <v>1490</v>
      </c>
      <c r="N28" s="10">
        <f t="shared" si="22"/>
        <v>1634</v>
      </c>
      <c r="O28" s="10">
        <f t="shared" si="23"/>
        <v>3039</v>
      </c>
      <c r="P28" s="10">
        <f t="shared" si="24"/>
        <v>3039</v>
      </c>
      <c r="Q28" s="10">
        <f t="shared" si="5"/>
        <v>1580</v>
      </c>
      <c r="R28" s="10">
        <f t="shared" si="25"/>
        <v>4859</v>
      </c>
      <c r="S28" s="10">
        <f t="shared" si="26"/>
        <v>1402</v>
      </c>
      <c r="T28" s="10">
        <f t="shared" si="27"/>
        <v>1634</v>
      </c>
      <c r="U28" s="10">
        <f t="shared" si="28"/>
        <v>2160</v>
      </c>
      <c r="V28" s="10">
        <f t="shared" si="28"/>
        <v>2160</v>
      </c>
      <c r="W28" s="10">
        <f t="shared" si="29"/>
        <v>13795</v>
      </c>
      <c r="X28" s="10">
        <f t="shared" si="30"/>
        <v>0.98</v>
      </c>
      <c r="Z28" s="14">
        <f t="shared" si="7"/>
        <v>6078</v>
      </c>
      <c r="AA28" s="14">
        <f t="shared" si="8"/>
        <v>4196</v>
      </c>
      <c r="AB28" s="14">
        <f t="shared" si="9"/>
        <v>2766</v>
      </c>
      <c r="AC28" s="14">
        <f t="shared" si="10"/>
        <v>4335</v>
      </c>
      <c r="AE28">
        <f t="shared" si="11"/>
        <v>2498</v>
      </c>
    </row>
    <row r="29" spans="1:31" x14ac:dyDescent="0.25">
      <c r="A29" s="8">
        <v>2040</v>
      </c>
      <c r="B29" s="10">
        <f t="shared" si="6"/>
        <v>521</v>
      </c>
      <c r="C29" s="10">
        <f t="shared" si="12"/>
        <v>3741</v>
      </c>
      <c r="D29" s="10">
        <f t="shared" si="13"/>
        <v>1234</v>
      </c>
      <c r="E29" s="10">
        <f t="shared" si="14"/>
        <v>1487</v>
      </c>
      <c r="F29" s="10">
        <f t="shared" si="15"/>
        <v>2052</v>
      </c>
      <c r="G29" s="10">
        <f t="shared" si="16"/>
        <v>2074</v>
      </c>
      <c r="H29" s="10">
        <f t="shared" si="17"/>
        <v>11109</v>
      </c>
      <c r="I29" s="10">
        <f t="shared" si="4"/>
        <v>490</v>
      </c>
      <c r="J29" s="10">
        <f t="shared" si="18"/>
        <v>3549</v>
      </c>
      <c r="K29" s="10">
        <f t="shared" si="19"/>
        <v>1161</v>
      </c>
      <c r="L29" s="10">
        <f t="shared" si="20"/>
        <v>1487</v>
      </c>
      <c r="M29" s="10">
        <f t="shared" si="21"/>
        <v>1465</v>
      </c>
      <c r="N29" s="10">
        <f t="shared" si="22"/>
        <v>1607</v>
      </c>
      <c r="O29" s="10">
        <f t="shared" si="23"/>
        <v>2988</v>
      </c>
      <c r="P29" s="10">
        <f t="shared" si="24"/>
        <v>2988</v>
      </c>
      <c r="Q29" s="10">
        <f t="shared" si="5"/>
        <v>1553</v>
      </c>
      <c r="R29" s="10">
        <f t="shared" si="25"/>
        <v>4778</v>
      </c>
      <c r="S29" s="10">
        <f t="shared" si="26"/>
        <v>1378</v>
      </c>
      <c r="T29" s="10">
        <f t="shared" si="27"/>
        <v>1607</v>
      </c>
      <c r="U29" s="10">
        <f t="shared" si="28"/>
        <v>2123</v>
      </c>
      <c r="V29" s="10">
        <f t="shared" si="28"/>
        <v>2123</v>
      </c>
      <c r="W29" s="10">
        <f t="shared" si="29"/>
        <v>13562</v>
      </c>
      <c r="X29" s="10">
        <f t="shared" si="30"/>
        <v>0.98</v>
      </c>
      <c r="Z29" s="14">
        <f t="shared" si="7"/>
        <v>5976</v>
      </c>
      <c r="AA29" s="14">
        <f t="shared" si="8"/>
        <v>4126</v>
      </c>
      <c r="AB29" s="14">
        <f t="shared" si="9"/>
        <v>2721</v>
      </c>
      <c r="AC29" s="14">
        <f t="shared" si="10"/>
        <v>4262</v>
      </c>
      <c r="AE29">
        <f t="shared" si="11"/>
        <v>2453</v>
      </c>
    </row>
    <row r="30" spans="1:31" x14ac:dyDescent="0.25">
      <c r="A30" s="8">
        <v>2041</v>
      </c>
      <c r="B30" s="10">
        <f t="shared" si="6"/>
        <v>512</v>
      </c>
      <c r="C30" s="10">
        <f t="shared" si="12"/>
        <v>3679</v>
      </c>
      <c r="D30" s="10">
        <f t="shared" si="13"/>
        <v>1213</v>
      </c>
      <c r="E30" s="10">
        <f t="shared" si="14"/>
        <v>1462</v>
      </c>
      <c r="F30" s="10">
        <f t="shared" si="15"/>
        <v>2017</v>
      </c>
      <c r="G30" s="10">
        <f t="shared" si="16"/>
        <v>2038</v>
      </c>
      <c r="H30" s="10">
        <f t="shared" si="17"/>
        <v>10921</v>
      </c>
      <c r="I30" s="10">
        <f t="shared" si="4"/>
        <v>482</v>
      </c>
      <c r="J30" s="10">
        <f t="shared" si="18"/>
        <v>3490</v>
      </c>
      <c r="K30" s="10">
        <f t="shared" si="19"/>
        <v>1141</v>
      </c>
      <c r="L30" s="10">
        <f t="shared" si="20"/>
        <v>1462</v>
      </c>
      <c r="M30" s="10">
        <f t="shared" si="21"/>
        <v>1440</v>
      </c>
      <c r="N30" s="10">
        <f t="shared" si="22"/>
        <v>1579</v>
      </c>
      <c r="O30" s="10">
        <f t="shared" si="23"/>
        <v>2938</v>
      </c>
      <c r="P30" s="10">
        <f t="shared" si="24"/>
        <v>2938</v>
      </c>
      <c r="Q30" s="10">
        <f t="shared" si="5"/>
        <v>1527</v>
      </c>
      <c r="R30" s="10">
        <f t="shared" si="25"/>
        <v>4698</v>
      </c>
      <c r="S30" s="10">
        <f t="shared" si="26"/>
        <v>1355</v>
      </c>
      <c r="T30" s="10">
        <f t="shared" si="27"/>
        <v>1579</v>
      </c>
      <c r="U30" s="10">
        <f t="shared" si="28"/>
        <v>2088</v>
      </c>
      <c r="V30" s="10">
        <f t="shared" si="28"/>
        <v>2088</v>
      </c>
      <c r="W30" s="10">
        <f t="shared" si="29"/>
        <v>13335</v>
      </c>
      <c r="X30" s="10">
        <f t="shared" si="30"/>
        <v>0.98</v>
      </c>
      <c r="Z30" s="14">
        <f t="shared" si="7"/>
        <v>5876</v>
      </c>
      <c r="AA30" s="14">
        <f t="shared" si="8"/>
        <v>4055</v>
      </c>
      <c r="AB30" s="14">
        <f t="shared" si="9"/>
        <v>2675</v>
      </c>
      <c r="AC30" s="14">
        <f t="shared" si="10"/>
        <v>4191</v>
      </c>
      <c r="AE30">
        <f t="shared" si="11"/>
        <v>2414</v>
      </c>
    </row>
    <row r="31" spans="1:31" x14ac:dyDescent="0.25">
      <c r="A31" s="8">
        <v>2042</v>
      </c>
      <c r="B31" s="10">
        <f t="shared" si="6"/>
        <v>504</v>
      </c>
      <c r="C31" s="10">
        <f t="shared" si="12"/>
        <v>3617</v>
      </c>
      <c r="D31" s="10">
        <f t="shared" si="13"/>
        <v>1192</v>
      </c>
      <c r="E31" s="10">
        <f t="shared" si="14"/>
        <v>1437</v>
      </c>
      <c r="F31" s="10">
        <f t="shared" si="15"/>
        <v>1984</v>
      </c>
      <c r="G31" s="10">
        <f t="shared" si="16"/>
        <v>2004</v>
      </c>
      <c r="H31" s="10">
        <f t="shared" si="17"/>
        <v>10738</v>
      </c>
      <c r="I31" s="10">
        <f t="shared" si="4"/>
        <v>474</v>
      </c>
      <c r="J31" s="10">
        <f t="shared" si="18"/>
        <v>3431</v>
      </c>
      <c r="K31" s="10">
        <f t="shared" si="19"/>
        <v>1121</v>
      </c>
      <c r="L31" s="10">
        <f t="shared" si="20"/>
        <v>1437</v>
      </c>
      <c r="M31" s="10">
        <f t="shared" si="21"/>
        <v>1417</v>
      </c>
      <c r="N31" s="10">
        <f t="shared" si="22"/>
        <v>1552</v>
      </c>
      <c r="O31" s="10">
        <f t="shared" si="23"/>
        <v>2889</v>
      </c>
      <c r="P31" s="10">
        <f t="shared" si="24"/>
        <v>2889</v>
      </c>
      <c r="Q31" s="10">
        <f t="shared" si="5"/>
        <v>1500</v>
      </c>
      <c r="R31" s="10">
        <f t="shared" si="25"/>
        <v>4618</v>
      </c>
      <c r="S31" s="10">
        <f t="shared" si="26"/>
        <v>1333</v>
      </c>
      <c r="T31" s="10">
        <f t="shared" si="27"/>
        <v>1552</v>
      </c>
      <c r="U31" s="10">
        <f t="shared" si="28"/>
        <v>2053</v>
      </c>
      <c r="V31" s="10">
        <f t="shared" si="28"/>
        <v>2053</v>
      </c>
      <c r="W31" s="10">
        <f t="shared" si="29"/>
        <v>13109</v>
      </c>
      <c r="X31" s="10">
        <f t="shared" si="30"/>
        <v>0.98</v>
      </c>
      <c r="Z31" s="14">
        <f t="shared" si="7"/>
        <v>5778</v>
      </c>
      <c r="AA31" s="14">
        <f t="shared" si="8"/>
        <v>3988</v>
      </c>
      <c r="AB31" s="14">
        <f t="shared" si="9"/>
        <v>2629</v>
      </c>
      <c r="AC31" s="14">
        <f t="shared" si="10"/>
        <v>4121</v>
      </c>
      <c r="AE31">
        <f t="shared" si="11"/>
        <v>2371</v>
      </c>
    </row>
    <row r="32" spans="1:31" x14ac:dyDescent="0.25">
      <c r="A32" s="8">
        <v>2043</v>
      </c>
      <c r="B32" s="10">
        <f t="shared" si="6"/>
        <v>495</v>
      </c>
      <c r="C32" s="10">
        <f t="shared" si="12"/>
        <v>3556</v>
      </c>
      <c r="D32" s="10">
        <f t="shared" si="13"/>
        <v>1173</v>
      </c>
      <c r="E32" s="10">
        <f t="shared" si="14"/>
        <v>1412</v>
      </c>
      <c r="F32" s="10">
        <f t="shared" si="15"/>
        <v>1950</v>
      </c>
      <c r="G32" s="10">
        <f t="shared" si="16"/>
        <v>1971</v>
      </c>
      <c r="H32" s="10">
        <f t="shared" si="17"/>
        <v>10557</v>
      </c>
      <c r="I32" s="10">
        <f t="shared" si="4"/>
        <v>466</v>
      </c>
      <c r="J32" s="10">
        <f t="shared" si="18"/>
        <v>3374</v>
      </c>
      <c r="K32" s="10">
        <f t="shared" si="19"/>
        <v>1103</v>
      </c>
      <c r="L32" s="10">
        <f t="shared" si="20"/>
        <v>1412</v>
      </c>
      <c r="M32" s="10">
        <f t="shared" si="21"/>
        <v>1393</v>
      </c>
      <c r="N32" s="10">
        <f t="shared" si="22"/>
        <v>1527</v>
      </c>
      <c r="O32" s="10">
        <f t="shared" si="23"/>
        <v>2840</v>
      </c>
      <c r="P32" s="10">
        <f t="shared" si="24"/>
        <v>2840</v>
      </c>
      <c r="Q32" s="10">
        <f t="shared" si="5"/>
        <v>1476</v>
      </c>
      <c r="R32" s="10">
        <f t="shared" si="25"/>
        <v>4540</v>
      </c>
      <c r="S32" s="10">
        <f t="shared" si="26"/>
        <v>1310</v>
      </c>
      <c r="T32" s="10">
        <f t="shared" si="27"/>
        <v>1527</v>
      </c>
      <c r="U32" s="10">
        <f t="shared" si="28"/>
        <v>2018</v>
      </c>
      <c r="V32" s="10">
        <f t="shared" si="28"/>
        <v>2018</v>
      </c>
      <c r="W32" s="10">
        <f t="shared" si="29"/>
        <v>12889</v>
      </c>
      <c r="X32" s="10">
        <f t="shared" si="30"/>
        <v>0.98</v>
      </c>
      <c r="Z32" s="14">
        <f t="shared" si="7"/>
        <v>5680</v>
      </c>
      <c r="AA32" s="14">
        <f t="shared" si="8"/>
        <v>3921</v>
      </c>
      <c r="AB32" s="14">
        <f t="shared" si="9"/>
        <v>2585</v>
      </c>
      <c r="AC32" s="14">
        <f t="shared" si="10"/>
        <v>4051</v>
      </c>
      <c r="AE32">
        <f t="shared" si="11"/>
        <v>2332</v>
      </c>
    </row>
    <row r="33" spans="31:31" x14ac:dyDescent="0.25">
      <c r="AE33">
        <f t="shared" si="11"/>
        <v>0</v>
      </c>
    </row>
    <row r="59" spans="1:3" x14ac:dyDescent="0.25">
      <c r="A59" s="1" t="s">
        <v>56</v>
      </c>
      <c r="B59" s="1" t="s">
        <v>63</v>
      </c>
      <c r="C59" s="1" t="s">
        <v>62</v>
      </c>
    </row>
    <row r="60" spans="1:3" x14ac:dyDescent="0.25">
      <c r="A60" s="1" t="s">
        <v>55</v>
      </c>
      <c r="B60" s="1">
        <f>B61/(B62*B63)*(1+B64+(B64*B65))</f>
        <v>19084.766691048859</v>
      </c>
      <c r="C60" s="11" t="s">
        <v>65</v>
      </c>
    </row>
    <row r="61" spans="1:3" x14ac:dyDescent="0.25">
      <c r="A61" s="1" t="s">
        <v>57</v>
      </c>
      <c r="B61" s="1">
        <f>O3</f>
        <v>2315.7799999999997</v>
      </c>
      <c r="C61" s="1" t="s">
        <v>64</v>
      </c>
    </row>
    <row r="62" spans="1:3" x14ac:dyDescent="0.25">
      <c r="A62" s="1" t="s">
        <v>58</v>
      </c>
      <c r="B62" s="1">
        <f>1-0.39</f>
        <v>0.61</v>
      </c>
      <c r="C62" s="11" t="s">
        <v>67</v>
      </c>
    </row>
    <row r="63" spans="1:3" x14ac:dyDescent="0.25">
      <c r="A63" s="1" t="s">
        <v>59</v>
      </c>
      <c r="B63" s="1">
        <f>0.381/(0.381+0.331+0.133)</f>
        <v>0.45088757396449708</v>
      </c>
      <c r="C63" s="11" t="s">
        <v>67</v>
      </c>
    </row>
    <row r="64" spans="1:3" x14ac:dyDescent="0.25">
      <c r="A64" s="1" t="s">
        <v>60</v>
      </c>
      <c r="B64" s="1">
        <f>B4</f>
        <v>0.6</v>
      </c>
      <c r="C64" s="1" t="s">
        <v>66</v>
      </c>
    </row>
    <row r="65" spans="1:3" x14ac:dyDescent="0.25">
      <c r="A65" s="1" t="s">
        <v>61</v>
      </c>
      <c r="B65" s="1">
        <f>B6/B66</f>
        <v>1.1111111111111109</v>
      </c>
    </row>
    <row r="66" spans="1:3" x14ac:dyDescent="0.25">
      <c r="B66" s="1">
        <f>B5*B4</f>
        <v>0.27</v>
      </c>
      <c r="C66" s="1" t="s">
        <v>68</v>
      </c>
    </row>
  </sheetData>
  <hyperlinks>
    <hyperlink ref="C60" r:id="rId1" xr:uid="{9525E9F7-55D3-4ABD-8120-1567B09C6667}"/>
    <hyperlink ref="C62" r:id="rId2" xr:uid="{26F87B69-88A1-4147-833F-5364F6E0167B}"/>
    <hyperlink ref="C63" r:id="rId3" xr:uid="{8D16ED4F-9963-4D40-9277-C5B2DBFA49BF}"/>
  </hyperlinks>
  <pageMargins left="0.7" right="0.7" top="0.75" bottom="0.75" header="0.3" footer="0.3"/>
  <pageSetup orientation="portrait" r:id="rId4"/>
  <drawing r:id="rId5"/>
  <legacy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9EEA8-9F70-45CA-81B6-68D3388EC121}">
  <dimension ref="A1:AC66"/>
  <sheetViews>
    <sheetView topLeftCell="A5" zoomScale="70" zoomScaleNormal="70" workbookViewId="0">
      <selection activeCell="O7" sqref="O7"/>
    </sheetView>
  </sheetViews>
  <sheetFormatPr defaultColWidth="9.140625" defaultRowHeight="15" x14ac:dyDescent="0.25"/>
  <cols>
    <col min="1" max="1" width="35.85546875" style="1" customWidth="1"/>
    <col min="2" max="2" width="15.85546875" style="1" customWidth="1"/>
    <col min="3" max="3" width="18.85546875" style="1" customWidth="1"/>
    <col min="4" max="4" width="20.42578125" style="1" customWidth="1"/>
    <col min="5" max="5" width="15.85546875" style="1" customWidth="1"/>
    <col min="6" max="6" width="18.5703125" style="1" customWidth="1"/>
    <col min="7" max="7" width="19" style="1" customWidth="1"/>
    <col min="8" max="8" width="13" style="1" customWidth="1"/>
    <col min="9" max="9" width="14" style="1" customWidth="1"/>
    <col min="10" max="10" width="15.42578125" style="1" customWidth="1"/>
    <col min="11" max="11" width="12.85546875" style="1" customWidth="1"/>
    <col min="12" max="12" width="15.140625" style="1" customWidth="1"/>
    <col min="13" max="13" width="16.5703125" style="1" customWidth="1"/>
    <col min="14" max="14" width="17.5703125" style="1" customWidth="1"/>
    <col min="15" max="15" width="15.85546875" style="1" customWidth="1"/>
    <col min="16" max="16" width="15.5703125" style="1" customWidth="1"/>
    <col min="17" max="17" width="17.7109375" style="1" customWidth="1"/>
    <col min="18" max="18" width="16.7109375" style="1" customWidth="1"/>
    <col min="19" max="19" width="17" style="1" customWidth="1"/>
    <col min="20" max="20" width="14.7109375" style="1" customWidth="1"/>
    <col min="21" max="21" width="17.85546875" style="1" customWidth="1"/>
    <col min="22" max="16384" width="9.140625" style="1"/>
  </cols>
  <sheetData>
    <row r="1" spans="1:29" x14ac:dyDescent="0.25">
      <c r="A1" s="1" t="s">
        <v>53</v>
      </c>
      <c r="B1" s="1" t="s">
        <v>54</v>
      </c>
      <c r="C1" s="1">
        <v>1730</v>
      </c>
      <c r="D1" s="1" t="s">
        <v>77</v>
      </c>
    </row>
    <row r="2" spans="1:29" x14ac:dyDescent="0.25">
      <c r="A2" s="1" t="s">
        <v>52</v>
      </c>
      <c r="B2" s="1">
        <v>2024</v>
      </c>
      <c r="C2" s="15">
        <f>B3/C1</f>
        <v>11.031657046849052</v>
      </c>
      <c r="D2" s="1" t="s">
        <v>78</v>
      </c>
      <c r="E2" s="15">
        <f>H13/C1</f>
        <v>8.5572254335260123</v>
      </c>
      <c r="F2" s="1" t="s">
        <v>79</v>
      </c>
      <c r="K2" s="1" t="s">
        <v>0</v>
      </c>
      <c r="L2" s="1" t="s">
        <v>1</v>
      </c>
      <c r="M2" s="1" t="s">
        <v>2</v>
      </c>
      <c r="O2" s="1" t="s">
        <v>3</v>
      </c>
      <c r="P2" s="1" t="s">
        <v>4</v>
      </c>
      <c r="Q2" s="1" t="s">
        <v>72</v>
      </c>
      <c r="S2" s="15" t="s">
        <v>80</v>
      </c>
    </row>
    <row r="3" spans="1:29" x14ac:dyDescent="0.25">
      <c r="A3" s="2" t="s">
        <v>5</v>
      </c>
      <c r="B3" s="12">
        <f>B60</f>
        <v>19084.766691048859</v>
      </c>
      <c r="J3" s="2" t="s">
        <v>6</v>
      </c>
      <c r="K3" s="3">
        <v>0.115</v>
      </c>
      <c r="L3" s="4">
        <f>LN(1-K3)</f>
        <v>-0.12216763397420753</v>
      </c>
      <c r="M3" s="4">
        <f>1-EXP(L3*0.5)</f>
        <v>5.9255613888661074E-2</v>
      </c>
      <c r="O3" s="3">
        <f>Q3-O5</f>
        <v>2315.7799999999997</v>
      </c>
      <c r="P3" s="4">
        <f>ROUND((O3/F5),2)</f>
        <v>0.67</v>
      </c>
      <c r="Q3" s="1">
        <v>2602</v>
      </c>
      <c r="S3" s="16">
        <f>B3*67</f>
        <v>1278679.3683002735</v>
      </c>
      <c r="T3" s="1" t="s">
        <v>81</v>
      </c>
    </row>
    <row r="4" spans="1:29" x14ac:dyDescent="0.25">
      <c r="A4" s="2" t="s">
        <v>7</v>
      </c>
      <c r="B4" s="13">
        <v>0.6</v>
      </c>
      <c r="C4" s="1" t="s">
        <v>8</v>
      </c>
      <c r="F4" s="1" t="s">
        <v>9</v>
      </c>
      <c r="G4" s="1" t="s">
        <v>10</v>
      </c>
      <c r="J4" s="2" t="s">
        <v>11</v>
      </c>
      <c r="K4" s="3">
        <v>0.22</v>
      </c>
      <c r="L4" s="4">
        <f t="shared" ref="L4:L9" si="0">LN(1-K4)</f>
        <v>-0.24846135929849961</v>
      </c>
      <c r="M4" s="4">
        <f t="shared" ref="M4:M9" si="1">1-EXP(L4*0.5)</f>
        <v>0.11682391336721532</v>
      </c>
      <c r="O4" s="3">
        <f>(Q4-(O6+O7+O8))</f>
        <v>1501.28</v>
      </c>
      <c r="P4" s="4">
        <f>ROUND((O4/G5),2)</f>
        <v>0.28999999999999998</v>
      </c>
      <c r="Q4" s="1">
        <v>1706</v>
      </c>
      <c r="S4" s="16">
        <f>H13*67</f>
        <v>991868</v>
      </c>
      <c r="T4" s="1" t="s">
        <v>82</v>
      </c>
    </row>
    <row r="5" spans="1:29" x14ac:dyDescent="0.25">
      <c r="A5" s="2" t="s">
        <v>12</v>
      </c>
      <c r="B5" s="13">
        <v>0.45</v>
      </c>
      <c r="D5" s="5" t="s">
        <v>13</v>
      </c>
      <c r="E5" s="4">
        <f>ROUND((B3*B5),0)</f>
        <v>8588</v>
      </c>
      <c r="F5" s="4">
        <f>ROUND(E5*(1-$B$4),0)</f>
        <v>3435</v>
      </c>
      <c r="G5" s="4">
        <f>ROUND((E5*$B$4),0)</f>
        <v>5153</v>
      </c>
      <c r="J5" s="2" t="s">
        <v>14</v>
      </c>
      <c r="K5" s="3">
        <v>0.115</v>
      </c>
      <c r="L5" s="4">
        <f t="shared" si="0"/>
        <v>-0.12216763397420753</v>
      </c>
      <c r="M5" s="4">
        <f t="shared" si="1"/>
        <v>5.9255613888661074E-2</v>
      </c>
      <c r="O5" s="3">
        <f>(Q3*0.11)</f>
        <v>286.22000000000003</v>
      </c>
      <c r="P5" s="4">
        <f>ROUND((O5/F6),2)</f>
        <v>0.12</v>
      </c>
      <c r="Q5" s="1" t="s">
        <v>69</v>
      </c>
    </row>
    <row r="6" spans="1:29" x14ac:dyDescent="0.25">
      <c r="A6" s="2" t="s">
        <v>15</v>
      </c>
      <c r="B6" s="13">
        <v>0.3</v>
      </c>
      <c r="D6" s="5" t="s">
        <v>16</v>
      </c>
      <c r="E6" s="4">
        <f>ROUND((B3*B6),0)</f>
        <v>5725</v>
      </c>
      <c r="F6" s="4">
        <f t="shared" ref="F6:F7" si="2">ROUND(E6*(1-$B$4),0)</f>
        <v>2290</v>
      </c>
      <c r="G6" s="4">
        <f t="shared" ref="G6:G7" si="3">ROUND((E6*$B$4),0)</f>
        <v>3435</v>
      </c>
      <c r="J6" s="2" t="s">
        <v>17</v>
      </c>
      <c r="K6" s="3">
        <v>0</v>
      </c>
      <c r="L6" s="4">
        <f t="shared" si="0"/>
        <v>0</v>
      </c>
      <c r="M6" s="4">
        <f t="shared" si="1"/>
        <v>0</v>
      </c>
      <c r="O6" s="3">
        <f>(Q4*0.18)*0</f>
        <v>0</v>
      </c>
      <c r="P6" s="4">
        <f>ROUND((O6/G6),2)</f>
        <v>0</v>
      </c>
      <c r="Q6" s="1" t="s">
        <v>70</v>
      </c>
    </row>
    <row r="7" spans="1:29" x14ac:dyDescent="0.25">
      <c r="A7" s="6" t="s">
        <v>18</v>
      </c>
      <c r="B7" s="7">
        <f>(1 - (B5 + B6))</f>
        <v>0.25</v>
      </c>
      <c r="D7" s="5" t="s">
        <v>19</v>
      </c>
      <c r="E7" s="4">
        <f>ROUND((B3*B7),0)</f>
        <v>4771</v>
      </c>
      <c r="F7" s="4">
        <f t="shared" si="2"/>
        <v>1908</v>
      </c>
      <c r="G7" s="4">
        <f t="shared" si="3"/>
        <v>2863</v>
      </c>
      <c r="J7" s="2" t="s">
        <v>20</v>
      </c>
      <c r="K7" s="3">
        <v>0.49</v>
      </c>
      <c r="L7" s="4">
        <f t="shared" si="0"/>
        <v>-0.67334455326376563</v>
      </c>
      <c r="M7" s="4">
        <f t="shared" si="1"/>
        <v>0.28585715714571502</v>
      </c>
      <c r="O7" s="3">
        <f>(Q4*0.12)/2</f>
        <v>102.36</v>
      </c>
      <c r="P7" s="4">
        <f>ROUND((O7/F7),2)</f>
        <v>0.05</v>
      </c>
      <c r="Q7" s="1" t="s">
        <v>71</v>
      </c>
    </row>
    <row r="8" spans="1:29" x14ac:dyDescent="0.25">
      <c r="A8" s="2" t="s">
        <v>21</v>
      </c>
      <c r="B8" s="3">
        <v>1.6</v>
      </c>
      <c r="C8" s="1" t="s">
        <v>22</v>
      </c>
      <c r="J8" s="2" t="s">
        <v>23</v>
      </c>
      <c r="K8" s="3">
        <v>0.49</v>
      </c>
      <c r="L8" s="4">
        <f t="shared" si="0"/>
        <v>-0.67334455326376563</v>
      </c>
      <c r="M8" s="4">
        <f t="shared" si="1"/>
        <v>0.28585715714571502</v>
      </c>
      <c r="O8" s="3">
        <f>(Q4*0.12)/2</f>
        <v>102.36</v>
      </c>
      <c r="P8" s="4">
        <f>ROUND((O8/G7),2)</f>
        <v>0.04</v>
      </c>
    </row>
    <row r="9" spans="1:29" x14ac:dyDescent="0.25">
      <c r="A9" s="2" t="s">
        <v>24</v>
      </c>
      <c r="B9" s="3">
        <v>0.2</v>
      </c>
      <c r="C9" s="1" t="s">
        <v>25</v>
      </c>
      <c r="J9" s="2" t="s">
        <v>26</v>
      </c>
      <c r="K9" s="3">
        <v>0.495</v>
      </c>
      <c r="L9" s="4">
        <f t="shared" si="0"/>
        <v>-0.68319684970677719</v>
      </c>
      <c r="M9" s="4">
        <f t="shared" si="1"/>
        <v>0.28936647982240526</v>
      </c>
      <c r="O9" s="1">
        <v>0</v>
      </c>
    </row>
    <row r="12" spans="1:29" customFormat="1" x14ac:dyDescent="0.25">
      <c r="A12" t="s">
        <v>27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 t="s">
        <v>33</v>
      </c>
      <c r="H12" t="s">
        <v>34</v>
      </c>
      <c r="I12" t="s">
        <v>35</v>
      </c>
      <c r="J12" t="s">
        <v>36</v>
      </c>
      <c r="K12" t="s">
        <v>37</v>
      </c>
      <c r="L12" t="s">
        <v>38</v>
      </c>
      <c r="M12" t="s">
        <v>39</v>
      </c>
      <c r="N12" t="s">
        <v>40</v>
      </c>
      <c r="O12" t="s">
        <v>41</v>
      </c>
      <c r="P12" t="s">
        <v>42</v>
      </c>
      <c r="Q12" t="s">
        <v>43</v>
      </c>
      <c r="R12" t="s">
        <v>44</v>
      </c>
      <c r="S12" t="s">
        <v>45</v>
      </c>
      <c r="T12" t="s">
        <v>46</v>
      </c>
      <c r="U12" t="s">
        <v>47</v>
      </c>
      <c r="V12" t="s">
        <v>48</v>
      </c>
      <c r="W12" t="s">
        <v>49</v>
      </c>
      <c r="X12" t="s">
        <v>50</v>
      </c>
      <c r="Z12" t="s">
        <v>75</v>
      </c>
      <c r="AA12" t="s">
        <v>73</v>
      </c>
      <c r="AB12" t="s">
        <v>74</v>
      </c>
      <c r="AC12" t="s">
        <v>76</v>
      </c>
    </row>
    <row r="13" spans="1:29" customFormat="1" x14ac:dyDescent="0.25">
      <c r="A13" s="8">
        <v>2024</v>
      </c>
      <c r="B13" s="8">
        <f>ROUND((F5 -(F5*P3)),0)</f>
        <v>1134</v>
      </c>
      <c r="C13" s="8">
        <f>ROUND((G5 - (G5*P4)),0)</f>
        <v>3659</v>
      </c>
      <c r="D13" s="8">
        <f>ROUND((F6 - (F6*P5)),0)</f>
        <v>2015</v>
      </c>
      <c r="E13" s="8">
        <f>ROUND((G6-(G6*P6)),0)</f>
        <v>3435</v>
      </c>
      <c r="F13" s="8">
        <f>ROUND((F7 - (F7*P7)),0)</f>
        <v>1813</v>
      </c>
      <c r="G13" s="8">
        <f>ROUND((G7 - (G7*P8)),0)</f>
        <v>2748</v>
      </c>
      <c r="H13" s="8">
        <f>(B13+C13+D13+E13+F13+G13)</f>
        <v>14804</v>
      </c>
      <c r="I13" s="8">
        <f t="shared" ref="I13:I32" si="4">ROUND((B13-(B13*$M$3)),0)</f>
        <v>1067</v>
      </c>
      <c r="J13" s="8">
        <f>ROUND((C13-(C13*$M$4)),0)</f>
        <v>3232</v>
      </c>
      <c r="K13" s="8">
        <f>ROUND((D13-(D13*$M$5)),0)</f>
        <v>1896</v>
      </c>
      <c r="L13" s="8">
        <f>ROUND((E13-(E13*$M$6)),0)</f>
        <v>3435</v>
      </c>
      <c r="M13" s="8">
        <f>ROUND((F13-(F13*$M$7)),0)</f>
        <v>1295</v>
      </c>
      <c r="N13" s="8">
        <f>ROUND((G13-(G13*$M$8)),0)</f>
        <v>1962</v>
      </c>
      <c r="O13" s="8">
        <f>ROUND((((J13*$B$8) + (L13*$B$9))/2),0)</f>
        <v>2929</v>
      </c>
      <c r="P13" s="8">
        <f>O13</f>
        <v>2929</v>
      </c>
      <c r="Q13" s="8">
        <f t="shared" ref="Q13:Q32" si="5">ROUND(((I13+K13) - ((I13+K13)*$M$3)),0)</f>
        <v>2787</v>
      </c>
      <c r="R13" s="8">
        <f>ROUND(((J13+L13) - ((J13+L13)*$M$4)),0)</f>
        <v>5888</v>
      </c>
      <c r="S13" s="8">
        <f>ROUND((M13-(M13*$M$5)),0)</f>
        <v>1218</v>
      </c>
      <c r="T13" s="8">
        <f>ROUND((N13-(N13*$M$6)),0)</f>
        <v>1962</v>
      </c>
      <c r="U13" s="8">
        <f>ROUND((O13-(O13*$M$9)),0)</f>
        <v>2081</v>
      </c>
      <c r="V13" s="8">
        <f>ROUND((P13-(P13*$M$9)),0)</f>
        <v>2081</v>
      </c>
      <c r="W13" s="8">
        <f>Q13+R13+S13+T13+U13+V13</f>
        <v>16017</v>
      </c>
      <c r="X13" s="8" t="s">
        <v>51</v>
      </c>
      <c r="Z13" s="14">
        <f>SUM(O13,P13)</f>
        <v>5858</v>
      </c>
      <c r="AA13" s="14">
        <f>SUM(F13,G13)</f>
        <v>4561</v>
      </c>
      <c r="AB13" s="14">
        <f>SUM(D13,E13)</f>
        <v>5450</v>
      </c>
      <c r="AC13" s="14">
        <f>SUM(B13,C13)</f>
        <v>4793</v>
      </c>
    </row>
    <row r="14" spans="1:29" customFormat="1" x14ac:dyDescent="0.25">
      <c r="A14" s="8">
        <v>2025</v>
      </c>
      <c r="B14" s="9">
        <f t="shared" ref="B14:B32" si="6">ROUND((Q13-(Q13*$P$3)),0)</f>
        <v>920</v>
      </c>
      <c r="C14" s="9">
        <f>ROUND((R13-(R13*$P$4)),0)</f>
        <v>4180</v>
      </c>
      <c r="D14" s="9">
        <f>ROUND((S13-(S13*$P$5)),0)</f>
        <v>1072</v>
      </c>
      <c r="E14" s="9">
        <f>ROUND((T13-(T13*$P$6)),0)</f>
        <v>1962</v>
      </c>
      <c r="F14" s="9">
        <f>ROUND((U13-(U13*$P$7)),0)</f>
        <v>1977</v>
      </c>
      <c r="G14" s="9">
        <f>ROUND((V13-(V13*$P$8)),0)</f>
        <v>1998</v>
      </c>
      <c r="H14" s="9">
        <f>(B14+C14+D14+E14+F14+G14)</f>
        <v>12109</v>
      </c>
      <c r="I14" s="9">
        <f t="shared" si="4"/>
        <v>865</v>
      </c>
      <c r="J14" s="9">
        <f>ROUND((C14-(C14*$M$4)),0)</f>
        <v>3692</v>
      </c>
      <c r="K14" s="9">
        <f>ROUND((D14-(D14*$M$5)),0)</f>
        <v>1008</v>
      </c>
      <c r="L14" s="9">
        <f>ROUND((E14-(E14*$M$6)),0)</f>
        <v>1962</v>
      </c>
      <c r="M14" s="9">
        <f>ROUND((F14-(F14*$M$7)),0)</f>
        <v>1412</v>
      </c>
      <c r="N14" s="9">
        <f>ROUND((G14-(G14*$M$8)),0)</f>
        <v>1427</v>
      </c>
      <c r="O14" s="9">
        <f>ROUND((((J14*$B$8) + (L14*$B$9))/2),0)</f>
        <v>3150</v>
      </c>
      <c r="P14" s="9">
        <f>O14</f>
        <v>3150</v>
      </c>
      <c r="Q14" s="9">
        <f t="shared" si="5"/>
        <v>1762</v>
      </c>
      <c r="R14" s="9">
        <f>ROUND(((J14+L14) - ((J14+L14)*$M$4)),0)</f>
        <v>4993</v>
      </c>
      <c r="S14" s="9">
        <f>ROUND((M14-(M14*$M$5)),0)</f>
        <v>1328</v>
      </c>
      <c r="T14" s="9">
        <f>ROUND((N14-(N14*$M$6)),0)</f>
        <v>1427</v>
      </c>
      <c r="U14" s="9">
        <f>ROUND((O14-(O14*$M$9)),0)</f>
        <v>2238</v>
      </c>
      <c r="V14" s="9">
        <f>ROUND((P14-(P14*$M$9)),0)</f>
        <v>2238</v>
      </c>
      <c r="W14" s="9">
        <f>Q14+R14+S14+T14+U14+V14</f>
        <v>13986</v>
      </c>
      <c r="X14" s="9">
        <f>ROUND((W14/W13),2)</f>
        <v>0.87</v>
      </c>
      <c r="Z14" s="14">
        <f t="shared" ref="Z14:Z32" si="7">SUM(O14,P14)</f>
        <v>6300</v>
      </c>
      <c r="AA14" s="14">
        <f t="shared" ref="AA14:AA32" si="8">SUM(F14,G14)</f>
        <v>3975</v>
      </c>
      <c r="AB14" s="14">
        <f t="shared" ref="AB14:AB32" si="9">SUM(D14,E14)</f>
        <v>3034</v>
      </c>
      <c r="AC14" s="14">
        <f t="shared" ref="AC14:AC32" si="10">SUM(B14,C14)</f>
        <v>5100</v>
      </c>
    </row>
    <row r="15" spans="1:29" x14ac:dyDescent="0.25">
      <c r="A15" s="8">
        <v>2026</v>
      </c>
      <c r="B15" s="10">
        <f t="shared" si="6"/>
        <v>581</v>
      </c>
      <c r="C15" s="10">
        <f t="shared" ref="C15:C32" si="11">ROUND((R14-(R14*$P$4)),0)</f>
        <v>3545</v>
      </c>
      <c r="D15" s="10">
        <f t="shared" ref="D15:D32" si="12">ROUND((S14-(S14*$P$5)),0)</f>
        <v>1169</v>
      </c>
      <c r="E15" s="10">
        <f t="shared" ref="E15:E32" si="13">ROUND((T14-(T14*$P$6)),0)</f>
        <v>1427</v>
      </c>
      <c r="F15" s="10">
        <f t="shared" ref="F15:F32" si="14">ROUND((U14-(U14*$P$7)),0)</f>
        <v>2126</v>
      </c>
      <c r="G15" s="10">
        <f t="shared" ref="G15:G32" si="15">ROUND((V14-(V14*$P$8)),0)</f>
        <v>2148</v>
      </c>
      <c r="H15" s="10">
        <f t="shared" ref="H15:H32" si="16">(B15+C15+D15+E15+F15+G15)</f>
        <v>10996</v>
      </c>
      <c r="I15" s="10">
        <f t="shared" si="4"/>
        <v>547</v>
      </c>
      <c r="J15" s="10">
        <f t="shared" ref="J15:J32" si="17">ROUND((C15-(C15*$M$4)),0)</f>
        <v>3131</v>
      </c>
      <c r="K15" s="10">
        <f t="shared" ref="K15:K32" si="18">ROUND((D15-(D15*$M$5)),0)</f>
        <v>1100</v>
      </c>
      <c r="L15" s="10">
        <f t="shared" ref="L15:L32" si="19">ROUND((E15-(E15*$M$6)),0)</f>
        <v>1427</v>
      </c>
      <c r="M15" s="10">
        <f t="shared" ref="M15:M32" si="20">ROUND((F15-(F15*$M$7)),0)</f>
        <v>1518</v>
      </c>
      <c r="N15" s="10">
        <f t="shared" ref="N15:N32" si="21">ROUND((G15-(G15*$M$8)),0)</f>
        <v>1534</v>
      </c>
      <c r="O15" s="10">
        <f t="shared" ref="O15:O32" si="22">ROUND((((J15*$B$8) + (L15*$B$9))/2),0)</f>
        <v>2648</v>
      </c>
      <c r="P15" s="10">
        <f t="shared" ref="P15:P32" si="23">O15</f>
        <v>2648</v>
      </c>
      <c r="Q15" s="10">
        <f t="shared" si="5"/>
        <v>1549</v>
      </c>
      <c r="R15" s="10">
        <f t="shared" ref="R15:R32" si="24">ROUND(((J15+L15) - ((J15+L15)*$M$4)),0)</f>
        <v>4026</v>
      </c>
      <c r="S15" s="10">
        <f t="shared" ref="S15:S32" si="25">ROUND((M15-(M15*$M$5)),0)</f>
        <v>1428</v>
      </c>
      <c r="T15" s="10">
        <f t="shared" ref="T15:T32" si="26">ROUND((N15-(N15*$M$6)),0)</f>
        <v>1534</v>
      </c>
      <c r="U15" s="10">
        <f t="shared" ref="U15:V32" si="27">ROUND((O15-(O15*$M$9)),0)</f>
        <v>1882</v>
      </c>
      <c r="V15" s="10">
        <f t="shared" si="27"/>
        <v>1882</v>
      </c>
      <c r="W15" s="10">
        <f t="shared" ref="W15:W32" si="28">Q15+R15+S15+T15+U15+V15</f>
        <v>12301</v>
      </c>
      <c r="X15" s="10">
        <f t="shared" ref="X15:X32" si="29">ROUND((W15/W14),2)</f>
        <v>0.88</v>
      </c>
      <c r="Z15" s="14">
        <f t="shared" si="7"/>
        <v>5296</v>
      </c>
      <c r="AA15" s="14">
        <f t="shared" si="8"/>
        <v>4274</v>
      </c>
      <c r="AB15" s="14">
        <f t="shared" si="9"/>
        <v>2596</v>
      </c>
      <c r="AC15" s="14">
        <f t="shared" si="10"/>
        <v>4126</v>
      </c>
    </row>
    <row r="16" spans="1:29" x14ac:dyDescent="0.25">
      <c r="A16" s="8">
        <v>2027</v>
      </c>
      <c r="B16" s="10">
        <f t="shared" si="6"/>
        <v>511</v>
      </c>
      <c r="C16" s="10">
        <f t="shared" si="11"/>
        <v>2858</v>
      </c>
      <c r="D16" s="10">
        <f t="shared" si="12"/>
        <v>1257</v>
      </c>
      <c r="E16" s="10">
        <f t="shared" si="13"/>
        <v>1534</v>
      </c>
      <c r="F16" s="10">
        <f t="shared" si="14"/>
        <v>1788</v>
      </c>
      <c r="G16" s="10">
        <f t="shared" si="15"/>
        <v>1807</v>
      </c>
      <c r="H16" s="10">
        <f t="shared" si="16"/>
        <v>9755</v>
      </c>
      <c r="I16" s="10">
        <f t="shared" si="4"/>
        <v>481</v>
      </c>
      <c r="J16" s="10">
        <f t="shared" si="17"/>
        <v>2524</v>
      </c>
      <c r="K16" s="10">
        <f t="shared" si="18"/>
        <v>1183</v>
      </c>
      <c r="L16" s="10">
        <f t="shared" si="19"/>
        <v>1534</v>
      </c>
      <c r="M16" s="10">
        <f t="shared" si="20"/>
        <v>1277</v>
      </c>
      <c r="N16" s="10">
        <f t="shared" si="21"/>
        <v>1290</v>
      </c>
      <c r="O16" s="10">
        <f t="shared" si="22"/>
        <v>2173</v>
      </c>
      <c r="P16" s="10">
        <f t="shared" si="23"/>
        <v>2173</v>
      </c>
      <c r="Q16" s="10">
        <f t="shared" si="5"/>
        <v>1565</v>
      </c>
      <c r="R16" s="10">
        <f t="shared" si="24"/>
        <v>3584</v>
      </c>
      <c r="S16" s="10">
        <f t="shared" si="25"/>
        <v>1201</v>
      </c>
      <c r="T16" s="10">
        <f t="shared" si="26"/>
        <v>1290</v>
      </c>
      <c r="U16" s="10">
        <f t="shared" si="27"/>
        <v>1544</v>
      </c>
      <c r="V16" s="10">
        <f t="shared" si="27"/>
        <v>1544</v>
      </c>
      <c r="W16" s="10">
        <f t="shared" si="28"/>
        <v>10728</v>
      </c>
      <c r="X16" s="10">
        <f t="shared" si="29"/>
        <v>0.87</v>
      </c>
      <c r="Z16" s="14">
        <f t="shared" si="7"/>
        <v>4346</v>
      </c>
      <c r="AA16" s="14">
        <f t="shared" si="8"/>
        <v>3595</v>
      </c>
      <c r="AB16" s="14">
        <f t="shared" si="9"/>
        <v>2791</v>
      </c>
      <c r="AC16" s="14">
        <f t="shared" si="10"/>
        <v>3369</v>
      </c>
    </row>
    <row r="17" spans="1:29" x14ac:dyDescent="0.25">
      <c r="A17" s="8">
        <v>2028</v>
      </c>
      <c r="B17" s="10">
        <f t="shared" si="6"/>
        <v>516</v>
      </c>
      <c r="C17" s="10">
        <f t="shared" si="11"/>
        <v>2545</v>
      </c>
      <c r="D17" s="10">
        <f t="shared" si="12"/>
        <v>1057</v>
      </c>
      <c r="E17" s="10">
        <f t="shared" si="13"/>
        <v>1290</v>
      </c>
      <c r="F17" s="10">
        <f t="shared" si="14"/>
        <v>1467</v>
      </c>
      <c r="G17" s="10">
        <f t="shared" si="15"/>
        <v>1482</v>
      </c>
      <c r="H17" s="10">
        <f t="shared" si="16"/>
        <v>8357</v>
      </c>
      <c r="I17" s="10">
        <f t="shared" si="4"/>
        <v>485</v>
      </c>
      <c r="J17" s="10">
        <f t="shared" si="17"/>
        <v>2248</v>
      </c>
      <c r="K17" s="10">
        <f t="shared" si="18"/>
        <v>994</v>
      </c>
      <c r="L17" s="10">
        <f t="shared" si="19"/>
        <v>1290</v>
      </c>
      <c r="M17" s="10">
        <f t="shared" si="20"/>
        <v>1048</v>
      </c>
      <c r="N17" s="10">
        <f t="shared" si="21"/>
        <v>1058</v>
      </c>
      <c r="O17" s="10">
        <f t="shared" si="22"/>
        <v>1927</v>
      </c>
      <c r="P17" s="10">
        <f t="shared" si="23"/>
        <v>1927</v>
      </c>
      <c r="Q17" s="10">
        <f t="shared" si="5"/>
        <v>1391</v>
      </c>
      <c r="R17" s="10">
        <f t="shared" si="24"/>
        <v>3125</v>
      </c>
      <c r="S17" s="10">
        <f t="shared" si="25"/>
        <v>986</v>
      </c>
      <c r="T17" s="10">
        <f t="shared" si="26"/>
        <v>1058</v>
      </c>
      <c r="U17" s="10">
        <f t="shared" si="27"/>
        <v>1369</v>
      </c>
      <c r="V17" s="10">
        <f t="shared" si="27"/>
        <v>1369</v>
      </c>
      <c r="W17" s="10">
        <f t="shared" si="28"/>
        <v>9298</v>
      </c>
      <c r="X17" s="10">
        <f t="shared" si="29"/>
        <v>0.87</v>
      </c>
      <c r="Z17" s="14">
        <f t="shared" si="7"/>
        <v>3854</v>
      </c>
      <c r="AA17" s="14">
        <f t="shared" si="8"/>
        <v>2949</v>
      </c>
      <c r="AB17" s="14">
        <f t="shared" si="9"/>
        <v>2347</v>
      </c>
      <c r="AC17" s="14">
        <f t="shared" si="10"/>
        <v>3061</v>
      </c>
    </row>
    <row r="18" spans="1:29" x14ac:dyDescent="0.25">
      <c r="A18" s="8">
        <v>2029</v>
      </c>
      <c r="B18" s="10">
        <f t="shared" si="6"/>
        <v>459</v>
      </c>
      <c r="C18" s="10">
        <f t="shared" si="11"/>
        <v>2219</v>
      </c>
      <c r="D18" s="10">
        <f t="shared" si="12"/>
        <v>868</v>
      </c>
      <c r="E18" s="10">
        <f t="shared" si="13"/>
        <v>1058</v>
      </c>
      <c r="F18" s="10">
        <f t="shared" si="14"/>
        <v>1301</v>
      </c>
      <c r="G18" s="10">
        <f t="shared" si="15"/>
        <v>1314</v>
      </c>
      <c r="H18" s="10">
        <f t="shared" si="16"/>
        <v>7219</v>
      </c>
      <c r="I18" s="10">
        <f t="shared" si="4"/>
        <v>432</v>
      </c>
      <c r="J18" s="10">
        <f t="shared" si="17"/>
        <v>1960</v>
      </c>
      <c r="K18" s="10">
        <f t="shared" si="18"/>
        <v>817</v>
      </c>
      <c r="L18" s="10">
        <f t="shared" si="19"/>
        <v>1058</v>
      </c>
      <c r="M18" s="10">
        <f t="shared" si="20"/>
        <v>929</v>
      </c>
      <c r="N18" s="10">
        <f t="shared" si="21"/>
        <v>938</v>
      </c>
      <c r="O18" s="10">
        <f t="shared" si="22"/>
        <v>1674</v>
      </c>
      <c r="P18" s="10">
        <f t="shared" si="23"/>
        <v>1674</v>
      </c>
      <c r="Q18" s="10">
        <f t="shared" si="5"/>
        <v>1175</v>
      </c>
      <c r="R18" s="10">
        <f t="shared" si="24"/>
        <v>2665</v>
      </c>
      <c r="S18" s="10">
        <f t="shared" si="25"/>
        <v>874</v>
      </c>
      <c r="T18" s="10">
        <f t="shared" si="26"/>
        <v>938</v>
      </c>
      <c r="U18" s="10">
        <f t="shared" si="27"/>
        <v>1190</v>
      </c>
      <c r="V18" s="10">
        <f t="shared" si="27"/>
        <v>1190</v>
      </c>
      <c r="W18" s="10">
        <f t="shared" si="28"/>
        <v>8032</v>
      </c>
      <c r="X18" s="10">
        <f t="shared" si="29"/>
        <v>0.86</v>
      </c>
      <c r="Z18" s="14">
        <f t="shared" si="7"/>
        <v>3348</v>
      </c>
      <c r="AA18" s="14">
        <f t="shared" si="8"/>
        <v>2615</v>
      </c>
      <c r="AB18" s="14">
        <f t="shared" si="9"/>
        <v>1926</v>
      </c>
      <c r="AC18" s="14">
        <f t="shared" si="10"/>
        <v>2678</v>
      </c>
    </row>
    <row r="19" spans="1:29" x14ac:dyDescent="0.25">
      <c r="A19" s="8">
        <v>2030</v>
      </c>
      <c r="B19" s="10">
        <f t="shared" si="6"/>
        <v>388</v>
      </c>
      <c r="C19" s="10">
        <f t="shared" si="11"/>
        <v>1892</v>
      </c>
      <c r="D19" s="10">
        <f t="shared" si="12"/>
        <v>769</v>
      </c>
      <c r="E19" s="10">
        <f t="shared" si="13"/>
        <v>938</v>
      </c>
      <c r="F19" s="10">
        <f t="shared" si="14"/>
        <v>1131</v>
      </c>
      <c r="G19" s="10">
        <f t="shared" si="15"/>
        <v>1142</v>
      </c>
      <c r="H19" s="10">
        <f t="shared" si="16"/>
        <v>6260</v>
      </c>
      <c r="I19" s="10">
        <f t="shared" si="4"/>
        <v>365</v>
      </c>
      <c r="J19" s="10">
        <f t="shared" si="17"/>
        <v>1671</v>
      </c>
      <c r="K19" s="10">
        <f t="shared" si="18"/>
        <v>723</v>
      </c>
      <c r="L19" s="10">
        <f t="shared" si="19"/>
        <v>938</v>
      </c>
      <c r="M19" s="10">
        <f t="shared" si="20"/>
        <v>808</v>
      </c>
      <c r="N19" s="10">
        <f t="shared" si="21"/>
        <v>816</v>
      </c>
      <c r="O19" s="10">
        <f t="shared" si="22"/>
        <v>1431</v>
      </c>
      <c r="P19" s="10">
        <f t="shared" si="23"/>
        <v>1431</v>
      </c>
      <c r="Q19" s="10">
        <f t="shared" si="5"/>
        <v>1024</v>
      </c>
      <c r="R19" s="10">
        <f t="shared" si="24"/>
        <v>2304</v>
      </c>
      <c r="S19" s="10">
        <f t="shared" si="25"/>
        <v>760</v>
      </c>
      <c r="T19" s="10">
        <f t="shared" si="26"/>
        <v>816</v>
      </c>
      <c r="U19" s="10">
        <f t="shared" si="27"/>
        <v>1017</v>
      </c>
      <c r="V19" s="10">
        <f t="shared" si="27"/>
        <v>1017</v>
      </c>
      <c r="W19" s="10">
        <f t="shared" si="28"/>
        <v>6938</v>
      </c>
      <c r="X19" s="10">
        <f t="shared" si="29"/>
        <v>0.86</v>
      </c>
      <c r="Z19" s="14">
        <f t="shared" si="7"/>
        <v>2862</v>
      </c>
      <c r="AA19" s="14">
        <f t="shared" si="8"/>
        <v>2273</v>
      </c>
      <c r="AB19" s="14">
        <f t="shared" si="9"/>
        <v>1707</v>
      </c>
      <c r="AC19" s="14">
        <f t="shared" si="10"/>
        <v>2280</v>
      </c>
    </row>
    <row r="20" spans="1:29" x14ac:dyDescent="0.25">
      <c r="A20" s="8">
        <v>2031</v>
      </c>
      <c r="B20" s="10">
        <f t="shared" si="6"/>
        <v>338</v>
      </c>
      <c r="C20" s="10">
        <f t="shared" si="11"/>
        <v>1636</v>
      </c>
      <c r="D20" s="10">
        <f t="shared" si="12"/>
        <v>669</v>
      </c>
      <c r="E20" s="10">
        <f t="shared" si="13"/>
        <v>816</v>
      </c>
      <c r="F20" s="10">
        <f t="shared" si="14"/>
        <v>966</v>
      </c>
      <c r="G20" s="10">
        <f t="shared" si="15"/>
        <v>976</v>
      </c>
      <c r="H20" s="10">
        <f t="shared" si="16"/>
        <v>5401</v>
      </c>
      <c r="I20" s="10">
        <f t="shared" si="4"/>
        <v>318</v>
      </c>
      <c r="J20" s="10">
        <f t="shared" si="17"/>
        <v>1445</v>
      </c>
      <c r="K20" s="10">
        <f t="shared" si="18"/>
        <v>629</v>
      </c>
      <c r="L20" s="10">
        <f t="shared" si="19"/>
        <v>816</v>
      </c>
      <c r="M20" s="10">
        <f t="shared" si="20"/>
        <v>690</v>
      </c>
      <c r="N20" s="10">
        <f t="shared" si="21"/>
        <v>697</v>
      </c>
      <c r="O20" s="10">
        <f t="shared" si="22"/>
        <v>1238</v>
      </c>
      <c r="P20" s="10">
        <f t="shared" si="23"/>
        <v>1238</v>
      </c>
      <c r="Q20" s="10">
        <f t="shared" si="5"/>
        <v>891</v>
      </c>
      <c r="R20" s="10">
        <f t="shared" si="24"/>
        <v>1997</v>
      </c>
      <c r="S20" s="10">
        <f t="shared" si="25"/>
        <v>649</v>
      </c>
      <c r="T20" s="10">
        <f t="shared" si="26"/>
        <v>697</v>
      </c>
      <c r="U20" s="10">
        <f t="shared" si="27"/>
        <v>880</v>
      </c>
      <c r="V20" s="10">
        <f t="shared" si="27"/>
        <v>880</v>
      </c>
      <c r="W20" s="10">
        <f t="shared" si="28"/>
        <v>5994</v>
      </c>
      <c r="X20" s="10">
        <f t="shared" si="29"/>
        <v>0.86</v>
      </c>
      <c r="Z20" s="14">
        <f t="shared" si="7"/>
        <v>2476</v>
      </c>
      <c r="AA20" s="14">
        <f t="shared" si="8"/>
        <v>1942</v>
      </c>
      <c r="AB20" s="14">
        <f t="shared" si="9"/>
        <v>1485</v>
      </c>
      <c r="AC20" s="14">
        <f t="shared" si="10"/>
        <v>1974</v>
      </c>
    </row>
    <row r="21" spans="1:29" x14ac:dyDescent="0.25">
      <c r="A21" s="8">
        <v>2032</v>
      </c>
      <c r="B21" s="10">
        <f t="shared" si="6"/>
        <v>294</v>
      </c>
      <c r="C21" s="10">
        <f t="shared" si="11"/>
        <v>1418</v>
      </c>
      <c r="D21" s="10">
        <f t="shared" si="12"/>
        <v>571</v>
      </c>
      <c r="E21" s="10">
        <f t="shared" si="13"/>
        <v>697</v>
      </c>
      <c r="F21" s="10">
        <f t="shared" si="14"/>
        <v>836</v>
      </c>
      <c r="G21" s="10">
        <f t="shared" si="15"/>
        <v>845</v>
      </c>
      <c r="H21" s="10">
        <f t="shared" si="16"/>
        <v>4661</v>
      </c>
      <c r="I21" s="10">
        <f t="shared" si="4"/>
        <v>277</v>
      </c>
      <c r="J21" s="10">
        <f t="shared" si="17"/>
        <v>1252</v>
      </c>
      <c r="K21" s="10">
        <f t="shared" si="18"/>
        <v>537</v>
      </c>
      <c r="L21" s="10">
        <f t="shared" si="19"/>
        <v>697</v>
      </c>
      <c r="M21" s="10">
        <f t="shared" si="20"/>
        <v>597</v>
      </c>
      <c r="N21" s="10">
        <f t="shared" si="21"/>
        <v>603</v>
      </c>
      <c r="O21" s="10">
        <f t="shared" si="22"/>
        <v>1071</v>
      </c>
      <c r="P21" s="10">
        <f t="shared" si="23"/>
        <v>1071</v>
      </c>
      <c r="Q21" s="10">
        <f t="shared" si="5"/>
        <v>766</v>
      </c>
      <c r="R21" s="10">
        <f t="shared" si="24"/>
        <v>1721</v>
      </c>
      <c r="S21" s="10">
        <f t="shared" si="25"/>
        <v>562</v>
      </c>
      <c r="T21" s="10">
        <f t="shared" si="26"/>
        <v>603</v>
      </c>
      <c r="U21" s="10">
        <f t="shared" si="27"/>
        <v>761</v>
      </c>
      <c r="V21" s="10">
        <f t="shared" si="27"/>
        <v>761</v>
      </c>
      <c r="W21" s="10">
        <f t="shared" si="28"/>
        <v>5174</v>
      </c>
      <c r="X21" s="10">
        <f t="shared" si="29"/>
        <v>0.86</v>
      </c>
      <c r="Z21" s="14">
        <f t="shared" si="7"/>
        <v>2142</v>
      </c>
      <c r="AA21" s="14">
        <f t="shared" si="8"/>
        <v>1681</v>
      </c>
      <c r="AB21" s="14">
        <f t="shared" si="9"/>
        <v>1268</v>
      </c>
      <c r="AC21" s="14">
        <f t="shared" si="10"/>
        <v>1712</v>
      </c>
    </row>
    <row r="22" spans="1:29" x14ac:dyDescent="0.25">
      <c r="A22" s="8">
        <v>2033</v>
      </c>
      <c r="B22" s="10">
        <f t="shared" si="6"/>
        <v>253</v>
      </c>
      <c r="C22" s="10">
        <f t="shared" si="11"/>
        <v>1222</v>
      </c>
      <c r="D22" s="10">
        <f t="shared" si="12"/>
        <v>495</v>
      </c>
      <c r="E22" s="10">
        <f t="shared" si="13"/>
        <v>603</v>
      </c>
      <c r="F22" s="10">
        <f t="shared" si="14"/>
        <v>723</v>
      </c>
      <c r="G22" s="10">
        <f t="shared" si="15"/>
        <v>731</v>
      </c>
      <c r="H22" s="10">
        <f t="shared" si="16"/>
        <v>4027</v>
      </c>
      <c r="I22" s="10">
        <f t="shared" si="4"/>
        <v>238</v>
      </c>
      <c r="J22" s="10">
        <f t="shared" si="17"/>
        <v>1079</v>
      </c>
      <c r="K22" s="10">
        <f t="shared" si="18"/>
        <v>466</v>
      </c>
      <c r="L22" s="10">
        <f t="shared" si="19"/>
        <v>603</v>
      </c>
      <c r="M22" s="10">
        <f t="shared" si="20"/>
        <v>516</v>
      </c>
      <c r="N22" s="10">
        <f t="shared" si="21"/>
        <v>522</v>
      </c>
      <c r="O22" s="10">
        <f t="shared" si="22"/>
        <v>924</v>
      </c>
      <c r="P22" s="10">
        <f t="shared" si="23"/>
        <v>924</v>
      </c>
      <c r="Q22" s="10">
        <f t="shared" si="5"/>
        <v>662</v>
      </c>
      <c r="R22" s="10">
        <f t="shared" si="24"/>
        <v>1486</v>
      </c>
      <c r="S22" s="10">
        <f t="shared" si="25"/>
        <v>485</v>
      </c>
      <c r="T22" s="10">
        <f t="shared" si="26"/>
        <v>522</v>
      </c>
      <c r="U22" s="10">
        <f t="shared" si="27"/>
        <v>657</v>
      </c>
      <c r="V22" s="10">
        <f t="shared" si="27"/>
        <v>657</v>
      </c>
      <c r="W22" s="10">
        <f t="shared" si="28"/>
        <v>4469</v>
      </c>
      <c r="X22" s="10">
        <f t="shared" si="29"/>
        <v>0.86</v>
      </c>
      <c r="Z22" s="14">
        <f t="shared" si="7"/>
        <v>1848</v>
      </c>
      <c r="AA22" s="14">
        <f t="shared" si="8"/>
        <v>1454</v>
      </c>
      <c r="AB22" s="14">
        <f t="shared" si="9"/>
        <v>1098</v>
      </c>
      <c r="AC22" s="14">
        <f t="shared" si="10"/>
        <v>1475</v>
      </c>
    </row>
    <row r="23" spans="1:29" x14ac:dyDescent="0.25">
      <c r="A23" s="8">
        <v>2034</v>
      </c>
      <c r="B23" s="10">
        <f t="shared" si="6"/>
        <v>218</v>
      </c>
      <c r="C23" s="10">
        <f t="shared" si="11"/>
        <v>1055</v>
      </c>
      <c r="D23" s="10">
        <f t="shared" si="12"/>
        <v>427</v>
      </c>
      <c r="E23" s="10">
        <f t="shared" si="13"/>
        <v>522</v>
      </c>
      <c r="F23" s="10">
        <f t="shared" si="14"/>
        <v>624</v>
      </c>
      <c r="G23" s="10">
        <f t="shared" si="15"/>
        <v>631</v>
      </c>
      <c r="H23" s="10">
        <f t="shared" si="16"/>
        <v>3477</v>
      </c>
      <c r="I23" s="10">
        <f t="shared" si="4"/>
        <v>205</v>
      </c>
      <c r="J23" s="10">
        <f t="shared" si="17"/>
        <v>932</v>
      </c>
      <c r="K23" s="10">
        <f t="shared" si="18"/>
        <v>402</v>
      </c>
      <c r="L23" s="10">
        <f t="shared" si="19"/>
        <v>522</v>
      </c>
      <c r="M23" s="10">
        <f t="shared" si="20"/>
        <v>446</v>
      </c>
      <c r="N23" s="10">
        <f t="shared" si="21"/>
        <v>451</v>
      </c>
      <c r="O23" s="10">
        <f t="shared" si="22"/>
        <v>798</v>
      </c>
      <c r="P23" s="10">
        <f t="shared" si="23"/>
        <v>798</v>
      </c>
      <c r="Q23" s="10">
        <f t="shared" si="5"/>
        <v>571</v>
      </c>
      <c r="R23" s="10">
        <f t="shared" si="24"/>
        <v>1284</v>
      </c>
      <c r="S23" s="10">
        <f t="shared" si="25"/>
        <v>420</v>
      </c>
      <c r="T23" s="10">
        <f t="shared" si="26"/>
        <v>451</v>
      </c>
      <c r="U23" s="10">
        <f t="shared" si="27"/>
        <v>567</v>
      </c>
      <c r="V23" s="10">
        <f t="shared" si="27"/>
        <v>567</v>
      </c>
      <c r="W23" s="10">
        <f t="shared" si="28"/>
        <v>3860</v>
      </c>
      <c r="X23" s="10">
        <f t="shared" si="29"/>
        <v>0.86</v>
      </c>
      <c r="Z23" s="14">
        <f t="shared" si="7"/>
        <v>1596</v>
      </c>
      <c r="AA23" s="14">
        <f t="shared" si="8"/>
        <v>1255</v>
      </c>
      <c r="AB23" s="14">
        <f t="shared" si="9"/>
        <v>949</v>
      </c>
      <c r="AC23" s="14">
        <f t="shared" si="10"/>
        <v>1273</v>
      </c>
    </row>
    <row r="24" spans="1:29" x14ac:dyDescent="0.25">
      <c r="A24" s="8">
        <v>2035</v>
      </c>
      <c r="B24" s="10">
        <f t="shared" si="6"/>
        <v>188</v>
      </c>
      <c r="C24" s="10">
        <f t="shared" si="11"/>
        <v>912</v>
      </c>
      <c r="D24" s="10">
        <f t="shared" si="12"/>
        <v>370</v>
      </c>
      <c r="E24" s="10">
        <f t="shared" si="13"/>
        <v>451</v>
      </c>
      <c r="F24" s="10">
        <f t="shared" si="14"/>
        <v>539</v>
      </c>
      <c r="G24" s="10">
        <f t="shared" si="15"/>
        <v>544</v>
      </c>
      <c r="H24" s="10">
        <f t="shared" si="16"/>
        <v>3004</v>
      </c>
      <c r="I24" s="10">
        <f t="shared" si="4"/>
        <v>177</v>
      </c>
      <c r="J24" s="10">
        <f t="shared" si="17"/>
        <v>805</v>
      </c>
      <c r="K24" s="10">
        <f t="shared" si="18"/>
        <v>348</v>
      </c>
      <c r="L24" s="10">
        <f t="shared" si="19"/>
        <v>451</v>
      </c>
      <c r="M24" s="10">
        <f t="shared" si="20"/>
        <v>385</v>
      </c>
      <c r="N24" s="10">
        <f t="shared" si="21"/>
        <v>388</v>
      </c>
      <c r="O24" s="10">
        <f t="shared" si="22"/>
        <v>689</v>
      </c>
      <c r="P24" s="10">
        <f t="shared" si="23"/>
        <v>689</v>
      </c>
      <c r="Q24" s="10">
        <f t="shared" si="5"/>
        <v>494</v>
      </c>
      <c r="R24" s="10">
        <f t="shared" si="24"/>
        <v>1109</v>
      </c>
      <c r="S24" s="10">
        <f t="shared" si="25"/>
        <v>362</v>
      </c>
      <c r="T24" s="10">
        <f t="shared" si="26"/>
        <v>388</v>
      </c>
      <c r="U24" s="10">
        <f t="shared" si="27"/>
        <v>490</v>
      </c>
      <c r="V24" s="10">
        <f t="shared" si="27"/>
        <v>490</v>
      </c>
      <c r="W24" s="10">
        <f t="shared" si="28"/>
        <v>3333</v>
      </c>
      <c r="X24" s="10">
        <f t="shared" si="29"/>
        <v>0.86</v>
      </c>
      <c r="Z24" s="14">
        <f t="shared" si="7"/>
        <v>1378</v>
      </c>
      <c r="AA24" s="14">
        <f t="shared" si="8"/>
        <v>1083</v>
      </c>
      <c r="AB24" s="14">
        <f t="shared" si="9"/>
        <v>821</v>
      </c>
      <c r="AC24" s="14">
        <f t="shared" si="10"/>
        <v>1100</v>
      </c>
    </row>
    <row r="25" spans="1:29" x14ac:dyDescent="0.25">
      <c r="A25" s="8">
        <v>2036</v>
      </c>
      <c r="B25" s="10">
        <f t="shared" si="6"/>
        <v>163</v>
      </c>
      <c r="C25" s="10">
        <f t="shared" si="11"/>
        <v>787</v>
      </c>
      <c r="D25" s="10">
        <f t="shared" si="12"/>
        <v>319</v>
      </c>
      <c r="E25" s="10">
        <f t="shared" si="13"/>
        <v>388</v>
      </c>
      <c r="F25" s="10">
        <f t="shared" si="14"/>
        <v>466</v>
      </c>
      <c r="G25" s="10">
        <f t="shared" si="15"/>
        <v>470</v>
      </c>
      <c r="H25" s="10">
        <f t="shared" si="16"/>
        <v>2593</v>
      </c>
      <c r="I25" s="10">
        <f t="shared" si="4"/>
        <v>153</v>
      </c>
      <c r="J25" s="10">
        <f t="shared" si="17"/>
        <v>695</v>
      </c>
      <c r="K25" s="10">
        <f t="shared" si="18"/>
        <v>300</v>
      </c>
      <c r="L25" s="10">
        <f t="shared" si="19"/>
        <v>388</v>
      </c>
      <c r="M25" s="10">
        <f t="shared" si="20"/>
        <v>333</v>
      </c>
      <c r="N25" s="10">
        <f t="shared" si="21"/>
        <v>336</v>
      </c>
      <c r="O25" s="10">
        <f t="shared" si="22"/>
        <v>595</v>
      </c>
      <c r="P25" s="10">
        <f t="shared" si="23"/>
        <v>595</v>
      </c>
      <c r="Q25" s="10">
        <f t="shared" si="5"/>
        <v>426</v>
      </c>
      <c r="R25" s="10">
        <f t="shared" si="24"/>
        <v>956</v>
      </c>
      <c r="S25" s="10">
        <f t="shared" si="25"/>
        <v>313</v>
      </c>
      <c r="T25" s="10">
        <f t="shared" si="26"/>
        <v>336</v>
      </c>
      <c r="U25" s="10">
        <f t="shared" si="27"/>
        <v>423</v>
      </c>
      <c r="V25" s="10">
        <f t="shared" si="27"/>
        <v>423</v>
      </c>
      <c r="W25" s="10">
        <f t="shared" si="28"/>
        <v>2877</v>
      </c>
      <c r="X25" s="10">
        <f t="shared" si="29"/>
        <v>0.86</v>
      </c>
      <c r="Z25" s="14">
        <f t="shared" si="7"/>
        <v>1190</v>
      </c>
      <c r="AA25" s="14">
        <f t="shared" si="8"/>
        <v>936</v>
      </c>
      <c r="AB25" s="14">
        <f t="shared" si="9"/>
        <v>707</v>
      </c>
      <c r="AC25" s="14">
        <f t="shared" si="10"/>
        <v>950</v>
      </c>
    </row>
    <row r="26" spans="1:29" x14ac:dyDescent="0.25">
      <c r="A26" s="8">
        <v>2037</v>
      </c>
      <c r="B26" s="10">
        <f t="shared" si="6"/>
        <v>141</v>
      </c>
      <c r="C26" s="10">
        <f t="shared" si="11"/>
        <v>679</v>
      </c>
      <c r="D26" s="10">
        <f t="shared" si="12"/>
        <v>275</v>
      </c>
      <c r="E26" s="10">
        <f t="shared" si="13"/>
        <v>336</v>
      </c>
      <c r="F26" s="10">
        <f t="shared" si="14"/>
        <v>402</v>
      </c>
      <c r="G26" s="10">
        <f t="shared" si="15"/>
        <v>406</v>
      </c>
      <c r="H26" s="10">
        <f t="shared" si="16"/>
        <v>2239</v>
      </c>
      <c r="I26" s="10">
        <f t="shared" si="4"/>
        <v>133</v>
      </c>
      <c r="J26" s="10">
        <f t="shared" si="17"/>
        <v>600</v>
      </c>
      <c r="K26" s="10">
        <f t="shared" si="18"/>
        <v>259</v>
      </c>
      <c r="L26" s="10">
        <f t="shared" si="19"/>
        <v>336</v>
      </c>
      <c r="M26" s="10">
        <f t="shared" si="20"/>
        <v>287</v>
      </c>
      <c r="N26" s="10">
        <f t="shared" si="21"/>
        <v>290</v>
      </c>
      <c r="O26" s="10">
        <f t="shared" si="22"/>
        <v>514</v>
      </c>
      <c r="P26" s="10">
        <f t="shared" si="23"/>
        <v>514</v>
      </c>
      <c r="Q26" s="10">
        <f t="shared" si="5"/>
        <v>369</v>
      </c>
      <c r="R26" s="10">
        <f t="shared" si="24"/>
        <v>827</v>
      </c>
      <c r="S26" s="10">
        <f t="shared" si="25"/>
        <v>270</v>
      </c>
      <c r="T26" s="10">
        <f t="shared" si="26"/>
        <v>290</v>
      </c>
      <c r="U26" s="10">
        <f t="shared" si="27"/>
        <v>365</v>
      </c>
      <c r="V26" s="10">
        <f t="shared" si="27"/>
        <v>365</v>
      </c>
      <c r="W26" s="10">
        <f t="shared" si="28"/>
        <v>2486</v>
      </c>
      <c r="X26" s="10">
        <f t="shared" si="29"/>
        <v>0.86</v>
      </c>
      <c r="Z26" s="14">
        <f t="shared" si="7"/>
        <v>1028</v>
      </c>
      <c r="AA26" s="14">
        <f t="shared" si="8"/>
        <v>808</v>
      </c>
      <c r="AB26" s="14">
        <f t="shared" si="9"/>
        <v>611</v>
      </c>
      <c r="AC26" s="14">
        <f t="shared" si="10"/>
        <v>820</v>
      </c>
    </row>
    <row r="27" spans="1:29" x14ac:dyDescent="0.25">
      <c r="A27" s="8">
        <v>2038</v>
      </c>
      <c r="B27" s="10">
        <f t="shared" si="6"/>
        <v>122</v>
      </c>
      <c r="C27" s="10">
        <f t="shared" si="11"/>
        <v>587</v>
      </c>
      <c r="D27" s="10">
        <f t="shared" si="12"/>
        <v>238</v>
      </c>
      <c r="E27" s="10">
        <f t="shared" si="13"/>
        <v>290</v>
      </c>
      <c r="F27" s="10">
        <f t="shared" si="14"/>
        <v>347</v>
      </c>
      <c r="G27" s="10">
        <f t="shared" si="15"/>
        <v>350</v>
      </c>
      <c r="H27" s="10">
        <f t="shared" si="16"/>
        <v>1934</v>
      </c>
      <c r="I27" s="10">
        <f t="shared" si="4"/>
        <v>115</v>
      </c>
      <c r="J27" s="10">
        <f t="shared" si="17"/>
        <v>518</v>
      </c>
      <c r="K27" s="10">
        <f t="shared" si="18"/>
        <v>224</v>
      </c>
      <c r="L27" s="10">
        <f t="shared" si="19"/>
        <v>290</v>
      </c>
      <c r="M27" s="10">
        <f t="shared" si="20"/>
        <v>248</v>
      </c>
      <c r="N27" s="10">
        <f t="shared" si="21"/>
        <v>250</v>
      </c>
      <c r="O27" s="10">
        <f t="shared" si="22"/>
        <v>443</v>
      </c>
      <c r="P27" s="10">
        <f t="shared" si="23"/>
        <v>443</v>
      </c>
      <c r="Q27" s="10">
        <f t="shared" si="5"/>
        <v>319</v>
      </c>
      <c r="R27" s="10">
        <f t="shared" si="24"/>
        <v>714</v>
      </c>
      <c r="S27" s="10">
        <f t="shared" si="25"/>
        <v>233</v>
      </c>
      <c r="T27" s="10">
        <f t="shared" si="26"/>
        <v>250</v>
      </c>
      <c r="U27" s="10">
        <f t="shared" si="27"/>
        <v>315</v>
      </c>
      <c r="V27" s="10">
        <f t="shared" si="27"/>
        <v>315</v>
      </c>
      <c r="W27" s="10">
        <f t="shared" si="28"/>
        <v>2146</v>
      </c>
      <c r="X27" s="10">
        <f t="shared" si="29"/>
        <v>0.86</v>
      </c>
      <c r="Z27" s="14">
        <f t="shared" si="7"/>
        <v>886</v>
      </c>
      <c r="AA27" s="14">
        <f t="shared" si="8"/>
        <v>697</v>
      </c>
      <c r="AB27" s="14">
        <f t="shared" si="9"/>
        <v>528</v>
      </c>
      <c r="AC27" s="14">
        <f t="shared" si="10"/>
        <v>709</v>
      </c>
    </row>
    <row r="28" spans="1:29" x14ac:dyDescent="0.25">
      <c r="A28" s="8">
        <v>2039</v>
      </c>
      <c r="B28" s="10">
        <f t="shared" si="6"/>
        <v>105</v>
      </c>
      <c r="C28" s="10">
        <f t="shared" si="11"/>
        <v>507</v>
      </c>
      <c r="D28" s="10">
        <f t="shared" si="12"/>
        <v>205</v>
      </c>
      <c r="E28" s="10">
        <f t="shared" si="13"/>
        <v>250</v>
      </c>
      <c r="F28" s="10">
        <f t="shared" si="14"/>
        <v>299</v>
      </c>
      <c r="G28" s="10">
        <f t="shared" si="15"/>
        <v>302</v>
      </c>
      <c r="H28" s="10">
        <f t="shared" si="16"/>
        <v>1668</v>
      </c>
      <c r="I28" s="10">
        <f t="shared" si="4"/>
        <v>99</v>
      </c>
      <c r="J28" s="10">
        <f t="shared" si="17"/>
        <v>448</v>
      </c>
      <c r="K28" s="10">
        <f t="shared" si="18"/>
        <v>193</v>
      </c>
      <c r="L28" s="10">
        <f t="shared" si="19"/>
        <v>250</v>
      </c>
      <c r="M28" s="10">
        <f t="shared" si="20"/>
        <v>214</v>
      </c>
      <c r="N28" s="10">
        <f t="shared" si="21"/>
        <v>216</v>
      </c>
      <c r="O28" s="10">
        <f t="shared" si="22"/>
        <v>383</v>
      </c>
      <c r="P28" s="10">
        <f t="shared" si="23"/>
        <v>383</v>
      </c>
      <c r="Q28" s="10">
        <f t="shared" si="5"/>
        <v>275</v>
      </c>
      <c r="R28" s="10">
        <f t="shared" si="24"/>
        <v>616</v>
      </c>
      <c r="S28" s="10">
        <f t="shared" si="25"/>
        <v>201</v>
      </c>
      <c r="T28" s="10">
        <f t="shared" si="26"/>
        <v>216</v>
      </c>
      <c r="U28" s="10">
        <f t="shared" si="27"/>
        <v>272</v>
      </c>
      <c r="V28" s="10">
        <f t="shared" si="27"/>
        <v>272</v>
      </c>
      <c r="W28" s="10">
        <f t="shared" si="28"/>
        <v>1852</v>
      </c>
      <c r="X28" s="10">
        <f t="shared" si="29"/>
        <v>0.86</v>
      </c>
      <c r="Z28" s="14">
        <f t="shared" si="7"/>
        <v>766</v>
      </c>
      <c r="AA28" s="14">
        <f t="shared" si="8"/>
        <v>601</v>
      </c>
      <c r="AB28" s="14">
        <f t="shared" si="9"/>
        <v>455</v>
      </c>
      <c r="AC28" s="14">
        <f t="shared" si="10"/>
        <v>612</v>
      </c>
    </row>
    <row r="29" spans="1:29" x14ac:dyDescent="0.25">
      <c r="A29" s="8">
        <v>2040</v>
      </c>
      <c r="B29" s="10">
        <f t="shared" si="6"/>
        <v>91</v>
      </c>
      <c r="C29" s="10">
        <f t="shared" si="11"/>
        <v>437</v>
      </c>
      <c r="D29" s="10">
        <f t="shared" si="12"/>
        <v>177</v>
      </c>
      <c r="E29" s="10">
        <f t="shared" si="13"/>
        <v>216</v>
      </c>
      <c r="F29" s="10">
        <f t="shared" si="14"/>
        <v>258</v>
      </c>
      <c r="G29" s="10">
        <f t="shared" si="15"/>
        <v>261</v>
      </c>
      <c r="H29" s="10">
        <f t="shared" si="16"/>
        <v>1440</v>
      </c>
      <c r="I29" s="10">
        <f t="shared" si="4"/>
        <v>86</v>
      </c>
      <c r="J29" s="10">
        <f t="shared" si="17"/>
        <v>386</v>
      </c>
      <c r="K29" s="10">
        <f t="shared" si="18"/>
        <v>167</v>
      </c>
      <c r="L29" s="10">
        <f t="shared" si="19"/>
        <v>216</v>
      </c>
      <c r="M29" s="10">
        <f t="shared" si="20"/>
        <v>184</v>
      </c>
      <c r="N29" s="10">
        <f t="shared" si="21"/>
        <v>186</v>
      </c>
      <c r="O29" s="10">
        <f t="shared" si="22"/>
        <v>330</v>
      </c>
      <c r="P29" s="10">
        <f t="shared" si="23"/>
        <v>330</v>
      </c>
      <c r="Q29" s="10">
        <f t="shared" si="5"/>
        <v>238</v>
      </c>
      <c r="R29" s="10">
        <f t="shared" si="24"/>
        <v>532</v>
      </c>
      <c r="S29" s="10">
        <f t="shared" si="25"/>
        <v>173</v>
      </c>
      <c r="T29" s="10">
        <f t="shared" si="26"/>
        <v>186</v>
      </c>
      <c r="U29" s="10">
        <f t="shared" si="27"/>
        <v>235</v>
      </c>
      <c r="V29" s="10">
        <f t="shared" si="27"/>
        <v>235</v>
      </c>
      <c r="W29" s="10">
        <f t="shared" si="28"/>
        <v>1599</v>
      </c>
      <c r="X29" s="10">
        <f t="shared" si="29"/>
        <v>0.86</v>
      </c>
      <c r="Z29" s="14">
        <f t="shared" si="7"/>
        <v>660</v>
      </c>
      <c r="AA29" s="14">
        <f t="shared" si="8"/>
        <v>519</v>
      </c>
      <c r="AB29" s="14">
        <f t="shared" si="9"/>
        <v>393</v>
      </c>
      <c r="AC29" s="14">
        <f t="shared" si="10"/>
        <v>528</v>
      </c>
    </row>
    <row r="30" spans="1:29" x14ac:dyDescent="0.25">
      <c r="A30" s="8">
        <v>2041</v>
      </c>
      <c r="B30" s="10">
        <f t="shared" si="6"/>
        <v>79</v>
      </c>
      <c r="C30" s="10">
        <f t="shared" si="11"/>
        <v>378</v>
      </c>
      <c r="D30" s="10">
        <f t="shared" si="12"/>
        <v>152</v>
      </c>
      <c r="E30" s="10">
        <f t="shared" si="13"/>
        <v>186</v>
      </c>
      <c r="F30" s="10">
        <f t="shared" si="14"/>
        <v>223</v>
      </c>
      <c r="G30" s="10">
        <f t="shared" si="15"/>
        <v>226</v>
      </c>
      <c r="H30" s="10">
        <f t="shared" si="16"/>
        <v>1244</v>
      </c>
      <c r="I30" s="10">
        <f t="shared" si="4"/>
        <v>74</v>
      </c>
      <c r="J30" s="10">
        <f t="shared" si="17"/>
        <v>334</v>
      </c>
      <c r="K30" s="10">
        <f t="shared" si="18"/>
        <v>143</v>
      </c>
      <c r="L30" s="10">
        <f t="shared" si="19"/>
        <v>186</v>
      </c>
      <c r="M30" s="10">
        <f t="shared" si="20"/>
        <v>159</v>
      </c>
      <c r="N30" s="10">
        <f t="shared" si="21"/>
        <v>161</v>
      </c>
      <c r="O30" s="10">
        <f t="shared" si="22"/>
        <v>286</v>
      </c>
      <c r="P30" s="10">
        <f t="shared" si="23"/>
        <v>286</v>
      </c>
      <c r="Q30" s="10">
        <f t="shared" si="5"/>
        <v>204</v>
      </c>
      <c r="R30" s="10">
        <f t="shared" si="24"/>
        <v>459</v>
      </c>
      <c r="S30" s="10">
        <f t="shared" si="25"/>
        <v>150</v>
      </c>
      <c r="T30" s="10">
        <f t="shared" si="26"/>
        <v>161</v>
      </c>
      <c r="U30" s="10">
        <f t="shared" si="27"/>
        <v>203</v>
      </c>
      <c r="V30" s="10">
        <f t="shared" si="27"/>
        <v>203</v>
      </c>
      <c r="W30" s="10">
        <f t="shared" si="28"/>
        <v>1380</v>
      </c>
      <c r="X30" s="10">
        <f t="shared" si="29"/>
        <v>0.86</v>
      </c>
      <c r="Z30" s="14">
        <f t="shared" si="7"/>
        <v>572</v>
      </c>
      <c r="AA30" s="14">
        <f t="shared" si="8"/>
        <v>449</v>
      </c>
      <c r="AB30" s="14">
        <f t="shared" si="9"/>
        <v>338</v>
      </c>
      <c r="AC30" s="14">
        <f t="shared" si="10"/>
        <v>457</v>
      </c>
    </row>
    <row r="31" spans="1:29" x14ac:dyDescent="0.25">
      <c r="A31" s="8">
        <v>2042</v>
      </c>
      <c r="B31" s="10">
        <f t="shared" si="6"/>
        <v>67</v>
      </c>
      <c r="C31" s="10">
        <f t="shared" si="11"/>
        <v>326</v>
      </c>
      <c r="D31" s="10">
        <f t="shared" si="12"/>
        <v>132</v>
      </c>
      <c r="E31" s="10">
        <f t="shared" si="13"/>
        <v>161</v>
      </c>
      <c r="F31" s="10">
        <f t="shared" si="14"/>
        <v>193</v>
      </c>
      <c r="G31" s="10">
        <f t="shared" si="15"/>
        <v>195</v>
      </c>
      <c r="H31" s="10">
        <f t="shared" si="16"/>
        <v>1074</v>
      </c>
      <c r="I31" s="10">
        <f t="shared" si="4"/>
        <v>63</v>
      </c>
      <c r="J31" s="10">
        <f t="shared" si="17"/>
        <v>288</v>
      </c>
      <c r="K31" s="10">
        <f t="shared" si="18"/>
        <v>124</v>
      </c>
      <c r="L31" s="10">
        <f t="shared" si="19"/>
        <v>161</v>
      </c>
      <c r="M31" s="10">
        <f t="shared" si="20"/>
        <v>138</v>
      </c>
      <c r="N31" s="10">
        <f t="shared" si="21"/>
        <v>139</v>
      </c>
      <c r="O31" s="10">
        <f t="shared" si="22"/>
        <v>247</v>
      </c>
      <c r="P31" s="10">
        <f t="shared" si="23"/>
        <v>247</v>
      </c>
      <c r="Q31" s="10">
        <f t="shared" si="5"/>
        <v>176</v>
      </c>
      <c r="R31" s="10">
        <f t="shared" si="24"/>
        <v>397</v>
      </c>
      <c r="S31" s="10">
        <f t="shared" si="25"/>
        <v>130</v>
      </c>
      <c r="T31" s="10">
        <f t="shared" si="26"/>
        <v>139</v>
      </c>
      <c r="U31" s="10">
        <f t="shared" si="27"/>
        <v>176</v>
      </c>
      <c r="V31" s="10">
        <f t="shared" si="27"/>
        <v>176</v>
      </c>
      <c r="W31" s="10">
        <f t="shared" si="28"/>
        <v>1194</v>
      </c>
      <c r="X31" s="10">
        <f t="shared" si="29"/>
        <v>0.87</v>
      </c>
      <c r="Z31" s="14">
        <f t="shared" si="7"/>
        <v>494</v>
      </c>
      <c r="AA31" s="14">
        <f t="shared" si="8"/>
        <v>388</v>
      </c>
      <c r="AB31" s="14">
        <f t="shared" si="9"/>
        <v>293</v>
      </c>
      <c r="AC31" s="14">
        <f t="shared" si="10"/>
        <v>393</v>
      </c>
    </row>
    <row r="32" spans="1:29" x14ac:dyDescent="0.25">
      <c r="A32" s="8">
        <v>2043</v>
      </c>
      <c r="B32" s="10">
        <f t="shared" si="6"/>
        <v>58</v>
      </c>
      <c r="C32" s="10">
        <f t="shared" si="11"/>
        <v>282</v>
      </c>
      <c r="D32" s="10">
        <f t="shared" si="12"/>
        <v>114</v>
      </c>
      <c r="E32" s="10">
        <f t="shared" si="13"/>
        <v>139</v>
      </c>
      <c r="F32" s="10">
        <f t="shared" si="14"/>
        <v>167</v>
      </c>
      <c r="G32" s="10">
        <f t="shared" si="15"/>
        <v>169</v>
      </c>
      <c r="H32" s="10">
        <f t="shared" si="16"/>
        <v>929</v>
      </c>
      <c r="I32" s="10">
        <f t="shared" si="4"/>
        <v>55</v>
      </c>
      <c r="J32" s="10">
        <f t="shared" si="17"/>
        <v>249</v>
      </c>
      <c r="K32" s="10">
        <f t="shared" si="18"/>
        <v>107</v>
      </c>
      <c r="L32" s="10">
        <f t="shared" si="19"/>
        <v>139</v>
      </c>
      <c r="M32" s="10">
        <f t="shared" si="20"/>
        <v>119</v>
      </c>
      <c r="N32" s="10">
        <f t="shared" si="21"/>
        <v>121</v>
      </c>
      <c r="O32" s="10">
        <f t="shared" si="22"/>
        <v>213</v>
      </c>
      <c r="P32" s="10">
        <f t="shared" si="23"/>
        <v>213</v>
      </c>
      <c r="Q32" s="10">
        <f t="shared" si="5"/>
        <v>152</v>
      </c>
      <c r="R32" s="10">
        <f t="shared" si="24"/>
        <v>343</v>
      </c>
      <c r="S32" s="10">
        <f t="shared" si="25"/>
        <v>112</v>
      </c>
      <c r="T32" s="10">
        <f t="shared" si="26"/>
        <v>121</v>
      </c>
      <c r="U32" s="10">
        <f t="shared" si="27"/>
        <v>151</v>
      </c>
      <c r="V32" s="10">
        <f t="shared" si="27"/>
        <v>151</v>
      </c>
      <c r="W32" s="10">
        <f t="shared" si="28"/>
        <v>1030</v>
      </c>
      <c r="X32" s="10">
        <f t="shared" si="29"/>
        <v>0.86</v>
      </c>
      <c r="Z32" s="14">
        <f t="shared" si="7"/>
        <v>426</v>
      </c>
      <c r="AA32" s="14">
        <f t="shared" si="8"/>
        <v>336</v>
      </c>
      <c r="AB32" s="14">
        <f t="shared" si="9"/>
        <v>253</v>
      </c>
      <c r="AC32" s="14">
        <f t="shared" si="10"/>
        <v>340</v>
      </c>
    </row>
    <row r="59" spans="1:3" x14ac:dyDescent="0.25">
      <c r="A59" s="1" t="s">
        <v>56</v>
      </c>
      <c r="B59" s="1" t="s">
        <v>63</v>
      </c>
      <c r="C59" s="1" t="s">
        <v>62</v>
      </c>
    </row>
    <row r="60" spans="1:3" x14ac:dyDescent="0.25">
      <c r="A60" s="1" t="s">
        <v>55</v>
      </c>
      <c r="B60" s="1">
        <f>B61/(B62*B63)*(1+B64+(B64*B65))</f>
        <v>19084.766691048859</v>
      </c>
      <c r="C60" s="11" t="s">
        <v>65</v>
      </c>
    </row>
    <row r="61" spans="1:3" x14ac:dyDescent="0.25">
      <c r="A61" s="1" t="s">
        <v>57</v>
      </c>
      <c r="B61" s="1">
        <f>O3</f>
        <v>2315.7799999999997</v>
      </c>
      <c r="C61" s="1" t="s">
        <v>64</v>
      </c>
    </row>
    <row r="62" spans="1:3" x14ac:dyDescent="0.25">
      <c r="A62" s="1" t="s">
        <v>58</v>
      </c>
      <c r="B62" s="1">
        <f>1-0.39</f>
        <v>0.61</v>
      </c>
      <c r="C62" s="11" t="s">
        <v>67</v>
      </c>
    </row>
    <row r="63" spans="1:3" x14ac:dyDescent="0.25">
      <c r="A63" s="1" t="s">
        <v>59</v>
      </c>
      <c r="B63" s="1">
        <f>0.381/(0.381+0.331+0.133)</f>
        <v>0.45088757396449708</v>
      </c>
      <c r="C63" s="11" t="s">
        <v>67</v>
      </c>
    </row>
    <row r="64" spans="1:3" x14ac:dyDescent="0.25">
      <c r="A64" s="1" t="s">
        <v>60</v>
      </c>
      <c r="B64" s="1">
        <v>0.6</v>
      </c>
      <c r="C64" s="1" t="s">
        <v>66</v>
      </c>
    </row>
    <row r="65" spans="1:3" x14ac:dyDescent="0.25">
      <c r="A65" s="1" t="s">
        <v>61</v>
      </c>
      <c r="B65" s="1">
        <f>0.3/B66</f>
        <v>1.1111111111111109</v>
      </c>
    </row>
    <row r="66" spans="1:3" x14ac:dyDescent="0.25">
      <c r="B66" s="1">
        <f>0.45*0.6</f>
        <v>0.27</v>
      </c>
      <c r="C66" s="1" t="s">
        <v>68</v>
      </c>
    </row>
  </sheetData>
  <hyperlinks>
    <hyperlink ref="C60" r:id="rId1" xr:uid="{ED9576EF-EB40-4A9B-8A7C-93E173ADBE73}"/>
    <hyperlink ref="C62" r:id="rId2" xr:uid="{BE2BD3BA-1FEC-4322-9AD4-8D82819F684D}"/>
    <hyperlink ref="C63" r:id="rId3" xr:uid="{309B47D2-60E3-4324-B5EF-C4878B448988}"/>
  </hyperlinks>
  <pageMargins left="0.7" right="0.7" top="0.75" bottom="0.75" header="0.3" footer="0.3"/>
  <pageSetup orientation="portrait" r:id="rId4"/>
  <drawing r:id="rId5"/>
  <legacy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B28EE-575C-473D-BC9A-25B65242336E}">
  <dimension ref="A1:AC66"/>
  <sheetViews>
    <sheetView zoomScale="70" zoomScaleNormal="70" workbookViewId="0">
      <selection activeCell="G10" sqref="G10"/>
    </sheetView>
  </sheetViews>
  <sheetFormatPr defaultColWidth="9.140625" defaultRowHeight="15" x14ac:dyDescent="0.25"/>
  <cols>
    <col min="1" max="1" width="35.85546875" style="1" customWidth="1"/>
    <col min="2" max="2" width="15.85546875" style="1" customWidth="1"/>
    <col min="3" max="3" width="18.85546875" style="1" customWidth="1"/>
    <col min="4" max="4" width="20.42578125" style="1" customWidth="1"/>
    <col min="5" max="5" width="15.85546875" style="1" customWidth="1"/>
    <col min="6" max="6" width="18.5703125" style="1" customWidth="1"/>
    <col min="7" max="7" width="19" style="1" customWidth="1"/>
    <col min="8" max="8" width="13" style="1" customWidth="1"/>
    <col min="9" max="9" width="14" style="1" customWidth="1"/>
    <col min="10" max="10" width="15.42578125" style="1" customWidth="1"/>
    <col min="11" max="11" width="12.85546875" style="1" customWidth="1"/>
    <col min="12" max="12" width="15.140625" style="1" customWidth="1"/>
    <col min="13" max="13" width="16.5703125" style="1" customWidth="1"/>
    <col min="14" max="14" width="17.5703125" style="1" customWidth="1"/>
    <col min="15" max="15" width="15.85546875" style="1" customWidth="1"/>
    <col min="16" max="16" width="15.5703125" style="1" customWidth="1"/>
    <col min="17" max="17" width="17.7109375" style="1" customWidth="1"/>
    <col min="18" max="18" width="16.7109375" style="1" customWidth="1"/>
    <col min="19" max="19" width="17" style="1" customWidth="1"/>
    <col min="20" max="20" width="14.7109375" style="1" customWidth="1"/>
    <col min="21" max="21" width="17.85546875" style="1" customWidth="1"/>
    <col min="22" max="16384" width="9.140625" style="1"/>
  </cols>
  <sheetData>
    <row r="1" spans="1:29" x14ac:dyDescent="0.25">
      <c r="A1" s="1" t="s">
        <v>53</v>
      </c>
      <c r="B1" s="1" t="s">
        <v>54</v>
      </c>
      <c r="C1" s="1">
        <v>1730</v>
      </c>
      <c r="D1" s="1" t="s">
        <v>77</v>
      </c>
      <c r="V1" s="1" t="s">
        <v>84</v>
      </c>
      <c r="W1" s="1" t="s">
        <v>85</v>
      </c>
    </row>
    <row r="2" spans="1:29" x14ac:dyDescent="0.25">
      <c r="A2" s="1" t="s">
        <v>52</v>
      </c>
      <c r="B2" s="1">
        <v>2003</v>
      </c>
      <c r="C2" s="15">
        <f>B3/C1</f>
        <v>13.162003199287593</v>
      </c>
      <c r="D2" s="1" t="s">
        <v>78</v>
      </c>
      <c r="E2" s="17">
        <f>H13/C1</f>
        <v>9.6653179190751448</v>
      </c>
      <c r="F2" s="1" t="s">
        <v>79</v>
      </c>
      <c r="K2" s="1" t="s">
        <v>0</v>
      </c>
      <c r="L2" s="1" t="s">
        <v>1</v>
      </c>
      <c r="M2" s="1" t="s">
        <v>2</v>
      </c>
      <c r="O2" s="1" t="s">
        <v>3</v>
      </c>
      <c r="P2" s="1" t="s">
        <v>4</v>
      </c>
      <c r="Q2" s="1" t="s">
        <v>86</v>
      </c>
      <c r="S2" s="15" t="s">
        <v>80</v>
      </c>
      <c r="U2" s="1" t="s">
        <v>83</v>
      </c>
      <c r="V2" s="1">
        <v>208000</v>
      </c>
      <c r="W2" s="1">
        <v>202000</v>
      </c>
    </row>
    <row r="3" spans="1:29" x14ac:dyDescent="0.25">
      <c r="A3" s="2" t="s">
        <v>5</v>
      </c>
      <c r="B3" s="12">
        <f>B60</f>
        <v>22770.265534767535</v>
      </c>
      <c r="J3" s="2" t="s">
        <v>6</v>
      </c>
      <c r="K3" s="3">
        <v>0.115</v>
      </c>
      <c r="L3" s="4">
        <f>LN(1-K3)</f>
        <v>-0.12216763397420753</v>
      </c>
      <c r="M3" s="4">
        <f>1-EXP(L3*0.5)</f>
        <v>5.9255613888661074E-2</v>
      </c>
      <c r="O3" s="3">
        <f>Q3-O5</f>
        <v>2762.9850746268658</v>
      </c>
      <c r="P3" s="4">
        <f>ROUND((O3/F5),2)</f>
        <v>0.67</v>
      </c>
      <c r="Q3" s="1">
        <f>V2/67</f>
        <v>3104.4776119402986</v>
      </c>
      <c r="S3" s="16">
        <f>B3*67</f>
        <v>1525607.790829425</v>
      </c>
      <c r="T3" s="1" t="s">
        <v>81</v>
      </c>
    </row>
    <row r="4" spans="1:29" x14ac:dyDescent="0.25">
      <c r="A4" s="2" t="s">
        <v>7</v>
      </c>
      <c r="B4" s="13">
        <v>0.6</v>
      </c>
      <c r="C4" s="1" t="s">
        <v>8</v>
      </c>
      <c r="F4" s="1" t="s">
        <v>9</v>
      </c>
      <c r="G4" s="1" t="s">
        <v>10</v>
      </c>
      <c r="J4" s="2" t="s">
        <v>11</v>
      </c>
      <c r="K4" s="3">
        <v>0.22</v>
      </c>
      <c r="L4" s="4">
        <f t="shared" ref="L4:L9" si="0">LN(1-K4)</f>
        <v>-0.24846135929849961</v>
      </c>
      <c r="M4" s="4">
        <f t="shared" ref="M4:M9" si="1">1-EXP(L4*0.5)</f>
        <v>0.11682391336721532</v>
      </c>
      <c r="O4" s="3">
        <f>(Q4-(O6+O7+O8))</f>
        <v>2110.4477611940297</v>
      </c>
      <c r="P4" s="4">
        <f>ROUND((O4/G5),2)</f>
        <v>0.34</v>
      </c>
      <c r="Q4" s="1">
        <f>W2/67</f>
        <v>3014.9253731343283</v>
      </c>
      <c r="S4" s="16">
        <f>H13*67</f>
        <v>1120307</v>
      </c>
      <c r="T4" s="1" t="s">
        <v>82</v>
      </c>
    </row>
    <row r="5" spans="1:29" x14ac:dyDescent="0.25">
      <c r="A5" s="2" t="s">
        <v>12</v>
      </c>
      <c r="B5" s="13">
        <v>0.45</v>
      </c>
      <c r="D5" s="5" t="s">
        <v>13</v>
      </c>
      <c r="E5" s="4">
        <f>ROUND((B3*B5),0)</f>
        <v>10247</v>
      </c>
      <c r="F5" s="4">
        <f>ROUND(E5*(1-$B$4),0)</f>
        <v>4099</v>
      </c>
      <c r="G5" s="4">
        <f>ROUND((E5*$B$4),0)</f>
        <v>6148</v>
      </c>
      <c r="J5" s="2" t="s">
        <v>14</v>
      </c>
      <c r="K5" s="3">
        <v>0.115</v>
      </c>
      <c r="L5" s="4">
        <f t="shared" si="0"/>
        <v>-0.12216763397420753</v>
      </c>
      <c r="M5" s="4">
        <f t="shared" si="1"/>
        <v>5.9255613888661074E-2</v>
      </c>
      <c r="O5" s="3">
        <f>(Q3*0.11)</f>
        <v>341.49253731343288</v>
      </c>
      <c r="P5" s="4">
        <f>ROUND((O5/F6),2)</f>
        <v>0.12</v>
      </c>
      <c r="Q5" s="1" t="s">
        <v>69</v>
      </c>
    </row>
    <row r="6" spans="1:29" x14ac:dyDescent="0.25">
      <c r="A6" s="2" t="s">
        <v>15</v>
      </c>
      <c r="B6" s="13">
        <v>0.3</v>
      </c>
      <c r="D6" s="5" t="s">
        <v>16</v>
      </c>
      <c r="E6" s="4">
        <f>ROUND((B3*B6),0)</f>
        <v>6831</v>
      </c>
      <c r="F6" s="4">
        <f t="shared" ref="F6:F7" si="2">ROUND(E6*(1-$B$4),0)</f>
        <v>2732</v>
      </c>
      <c r="G6" s="4">
        <f t="shared" ref="G6:G7" si="3">ROUND((E6*$B$4),0)</f>
        <v>4099</v>
      </c>
      <c r="J6" s="2" t="s">
        <v>17</v>
      </c>
      <c r="K6" s="3">
        <v>0</v>
      </c>
      <c r="L6" s="4">
        <f t="shared" si="0"/>
        <v>0</v>
      </c>
      <c r="M6" s="4">
        <f t="shared" si="1"/>
        <v>0</v>
      </c>
      <c r="O6" s="3">
        <f>(Q4*0.18)</f>
        <v>542.68656716417911</v>
      </c>
      <c r="P6" s="4">
        <f>ROUND((O6/G6),2)</f>
        <v>0.13</v>
      </c>
      <c r="Q6" s="1" t="s">
        <v>70</v>
      </c>
    </row>
    <row r="7" spans="1:29" x14ac:dyDescent="0.25">
      <c r="A7" s="6" t="s">
        <v>18</v>
      </c>
      <c r="B7" s="7">
        <f>(1 - (B5 + B6))</f>
        <v>0.25</v>
      </c>
      <c r="D7" s="5" t="s">
        <v>19</v>
      </c>
      <c r="E7" s="4">
        <f>ROUND((B3*B7),0)</f>
        <v>5693</v>
      </c>
      <c r="F7" s="4">
        <f t="shared" si="2"/>
        <v>2277</v>
      </c>
      <c r="G7" s="4">
        <f t="shared" si="3"/>
        <v>3416</v>
      </c>
      <c r="J7" s="2" t="s">
        <v>20</v>
      </c>
      <c r="K7" s="3">
        <v>0.49</v>
      </c>
      <c r="L7" s="4">
        <f t="shared" si="0"/>
        <v>-0.67334455326376563</v>
      </c>
      <c r="M7" s="4">
        <f t="shared" si="1"/>
        <v>0.28585715714571502</v>
      </c>
      <c r="O7" s="3">
        <f>(Q4*0.12)/2</f>
        <v>180.8955223880597</v>
      </c>
      <c r="P7" s="4">
        <f>ROUND((O7/F7),2)</f>
        <v>0.08</v>
      </c>
      <c r="Q7" s="1" t="s">
        <v>71</v>
      </c>
    </row>
    <row r="8" spans="1:29" x14ac:dyDescent="0.25">
      <c r="A8" s="2" t="s">
        <v>21</v>
      </c>
      <c r="B8" s="3">
        <v>1.6</v>
      </c>
      <c r="C8" s="1" t="s">
        <v>22</v>
      </c>
      <c r="J8" s="2" t="s">
        <v>23</v>
      </c>
      <c r="K8" s="3">
        <v>0.49</v>
      </c>
      <c r="L8" s="4">
        <f t="shared" si="0"/>
        <v>-0.67334455326376563</v>
      </c>
      <c r="M8" s="4">
        <f t="shared" si="1"/>
        <v>0.28585715714571502</v>
      </c>
      <c r="O8" s="3">
        <f>(Q4*0.12)/2</f>
        <v>180.8955223880597</v>
      </c>
      <c r="P8" s="4">
        <f>ROUND((O8/G7),2)</f>
        <v>0.05</v>
      </c>
    </row>
    <row r="9" spans="1:29" x14ac:dyDescent="0.25">
      <c r="A9" s="2" t="s">
        <v>24</v>
      </c>
      <c r="B9" s="3">
        <v>0.2</v>
      </c>
      <c r="C9" s="1" t="s">
        <v>25</v>
      </c>
      <c r="J9" s="2" t="s">
        <v>26</v>
      </c>
      <c r="K9" s="3">
        <v>0.495</v>
      </c>
      <c r="L9" s="4">
        <f t="shared" si="0"/>
        <v>-0.68319684970677719</v>
      </c>
      <c r="M9" s="4">
        <f t="shared" si="1"/>
        <v>0.28936647982240526</v>
      </c>
      <c r="O9" s="1">
        <v>0</v>
      </c>
    </row>
    <row r="12" spans="1:29" customFormat="1" x14ac:dyDescent="0.25">
      <c r="A12" t="s">
        <v>27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 t="s">
        <v>33</v>
      </c>
      <c r="H12" t="s">
        <v>34</v>
      </c>
      <c r="I12" t="s">
        <v>35</v>
      </c>
      <c r="J12" t="s">
        <v>36</v>
      </c>
      <c r="K12" t="s">
        <v>37</v>
      </c>
      <c r="L12" t="s">
        <v>38</v>
      </c>
      <c r="M12" t="s">
        <v>39</v>
      </c>
      <c r="N12" t="s">
        <v>40</v>
      </c>
      <c r="O12" t="s">
        <v>41</v>
      </c>
      <c r="P12" t="s">
        <v>42</v>
      </c>
      <c r="Q12" t="s">
        <v>43</v>
      </c>
      <c r="R12" t="s">
        <v>44</v>
      </c>
      <c r="S12" t="s">
        <v>45</v>
      </c>
      <c r="T12" t="s">
        <v>46</v>
      </c>
      <c r="U12" t="s">
        <v>47</v>
      </c>
      <c r="V12" t="s">
        <v>48</v>
      </c>
      <c r="W12" t="s">
        <v>49</v>
      </c>
      <c r="X12" t="s">
        <v>50</v>
      </c>
      <c r="Z12" t="s">
        <v>75</v>
      </c>
      <c r="AA12" t="s">
        <v>73</v>
      </c>
      <c r="AB12" t="s">
        <v>74</v>
      </c>
      <c r="AC12" t="s">
        <v>76</v>
      </c>
    </row>
    <row r="13" spans="1:29" customFormat="1" x14ac:dyDescent="0.25">
      <c r="A13" s="8">
        <v>2003</v>
      </c>
      <c r="B13" s="8">
        <f>ROUND((F5 -(F5*P3)),0)</f>
        <v>1353</v>
      </c>
      <c r="C13" s="8">
        <f>ROUND((G5 - (G5*P4)),0)</f>
        <v>4058</v>
      </c>
      <c r="D13" s="8">
        <f>ROUND((F6 - (F6*P5)),0)</f>
        <v>2404</v>
      </c>
      <c r="E13" s="8">
        <f>ROUND((G6-(G6*P6)),0)</f>
        <v>3566</v>
      </c>
      <c r="F13" s="8">
        <f>ROUND((F7 - (F7*P7)),0)</f>
        <v>2095</v>
      </c>
      <c r="G13" s="8">
        <f>ROUND((G7 - (G7*P8)),0)</f>
        <v>3245</v>
      </c>
      <c r="H13" s="8">
        <f>(B13+C13+D13+E13+F13+G13)</f>
        <v>16721</v>
      </c>
      <c r="I13" s="8">
        <f t="shared" ref="I13:I32" si="4">ROUND((B13-(B13*$M$3)),0)</f>
        <v>1273</v>
      </c>
      <c r="J13" s="8">
        <f>ROUND((C13-(C13*$M$4)),0)</f>
        <v>3584</v>
      </c>
      <c r="K13" s="8">
        <f>ROUND((D13-(D13*$M$5)),0)</f>
        <v>2262</v>
      </c>
      <c r="L13" s="8">
        <f>ROUND((E13-(E13*$M$6)),0)</f>
        <v>3566</v>
      </c>
      <c r="M13" s="8">
        <f>ROUND((F13-(F13*$M$7)),0)</f>
        <v>1496</v>
      </c>
      <c r="N13" s="8">
        <f>ROUND((G13-(G13*$M$8)),0)</f>
        <v>2317</v>
      </c>
      <c r="O13" s="8">
        <f>ROUND((((J13*$B$8) + (L13*$B$9))/2),0)</f>
        <v>3224</v>
      </c>
      <c r="P13" s="8">
        <f>O13</f>
        <v>3224</v>
      </c>
      <c r="Q13" s="8">
        <f t="shared" ref="Q13:Q32" si="5">ROUND(((I13+K13) - ((I13+K13)*$M$3)),0)</f>
        <v>3326</v>
      </c>
      <c r="R13" s="8">
        <f>ROUND(((J13+L13) - ((J13+L13)*$M$4)),0)</f>
        <v>6315</v>
      </c>
      <c r="S13" s="8">
        <f>ROUND((M13-(M13*$M$5)),0)</f>
        <v>1407</v>
      </c>
      <c r="T13" s="8">
        <f>ROUND((N13-(N13*$M$6)),0)</f>
        <v>2317</v>
      </c>
      <c r="U13" s="8">
        <f>ROUND((O13-(O13*$M$9)),0)</f>
        <v>2291</v>
      </c>
      <c r="V13" s="8">
        <f>ROUND((P13-(P13*$M$9)),0)</f>
        <v>2291</v>
      </c>
      <c r="W13" s="8">
        <f>Q13+R13+S13+T13+U13+V13</f>
        <v>17947</v>
      </c>
      <c r="X13" s="8" t="s">
        <v>51</v>
      </c>
      <c r="Z13" s="14">
        <f>SUM(O13,P13)</f>
        <v>6448</v>
      </c>
      <c r="AA13" s="14">
        <f>SUM(F13,G13)</f>
        <v>5340</v>
      </c>
      <c r="AB13" s="14">
        <f>SUM(D13,E13)</f>
        <v>5970</v>
      </c>
      <c r="AC13" s="14">
        <f>SUM(B13,C13)</f>
        <v>5411</v>
      </c>
    </row>
    <row r="14" spans="1:29" customFormat="1" x14ac:dyDescent="0.25">
      <c r="A14" s="8">
        <v>2004</v>
      </c>
      <c r="B14" s="9">
        <f t="shared" ref="B14:B32" si="6">ROUND((Q13-(Q13*$P$3)),0)</f>
        <v>1098</v>
      </c>
      <c r="C14" s="9">
        <f>ROUND((R13-(R13*$P$4)),0)</f>
        <v>4168</v>
      </c>
      <c r="D14" s="9">
        <f>ROUND((S13-(S13*$P$5)),0)</f>
        <v>1238</v>
      </c>
      <c r="E14" s="9">
        <f>ROUND((T13-(T13*$P$6)),0)</f>
        <v>2016</v>
      </c>
      <c r="F14" s="9">
        <f>ROUND((U13-(U13*$P$7)),0)</f>
        <v>2108</v>
      </c>
      <c r="G14" s="9">
        <f>ROUND((V13-(V13*$P$8)),0)</f>
        <v>2176</v>
      </c>
      <c r="H14" s="9">
        <f>(B14+C14+D14+E14+F14+G14)</f>
        <v>12804</v>
      </c>
      <c r="I14" s="9">
        <f t="shared" si="4"/>
        <v>1033</v>
      </c>
      <c r="J14" s="9">
        <f>ROUND((C14-(C14*$M$4)),0)</f>
        <v>3681</v>
      </c>
      <c r="K14" s="9">
        <f>ROUND((D14-(D14*$M$5)),0)</f>
        <v>1165</v>
      </c>
      <c r="L14" s="9">
        <f>ROUND((E14-(E14*$M$6)),0)</f>
        <v>2016</v>
      </c>
      <c r="M14" s="9">
        <f>ROUND((F14-(F14*$M$7)),0)</f>
        <v>1505</v>
      </c>
      <c r="N14" s="9">
        <f>ROUND((G14-(G14*$M$8)),0)</f>
        <v>1554</v>
      </c>
      <c r="O14" s="9">
        <f>ROUND((((J14*$B$8) + (L14*$B$9))/2),0)</f>
        <v>3146</v>
      </c>
      <c r="P14" s="9">
        <f>O14</f>
        <v>3146</v>
      </c>
      <c r="Q14" s="9">
        <f t="shared" si="5"/>
        <v>2068</v>
      </c>
      <c r="R14" s="9">
        <f>ROUND(((J14+L14) - ((J14+L14)*$M$4)),0)</f>
        <v>5031</v>
      </c>
      <c r="S14" s="9">
        <f>ROUND((M14-(M14*$M$5)),0)</f>
        <v>1416</v>
      </c>
      <c r="T14" s="9">
        <f>ROUND((N14-(N14*$M$6)),0)</f>
        <v>1554</v>
      </c>
      <c r="U14" s="9">
        <f>ROUND((O14-(O14*$M$9)),0)</f>
        <v>2236</v>
      </c>
      <c r="V14" s="9">
        <f>ROUND((P14-(P14*$M$9)),0)</f>
        <v>2236</v>
      </c>
      <c r="W14" s="9">
        <f>Q14+R14+S14+T14+U14+V14</f>
        <v>14541</v>
      </c>
      <c r="X14" s="9">
        <f>ROUND((W14/W13),2)</f>
        <v>0.81</v>
      </c>
      <c r="Z14" s="14">
        <f t="shared" ref="Z14:Z32" si="7">SUM(O14,P14)</f>
        <v>6292</v>
      </c>
      <c r="AA14" s="14">
        <f t="shared" ref="AA14:AA32" si="8">SUM(F14,G14)</f>
        <v>4284</v>
      </c>
      <c r="AB14" s="14">
        <f t="shared" ref="AB14:AB32" si="9">SUM(D14,E14)</f>
        <v>3254</v>
      </c>
      <c r="AC14" s="14">
        <f t="shared" ref="AC14:AC32" si="10">SUM(B14,C14)</f>
        <v>5266</v>
      </c>
    </row>
    <row r="15" spans="1:29" x14ac:dyDescent="0.25">
      <c r="A15" s="8">
        <v>2005</v>
      </c>
      <c r="B15" s="10">
        <f t="shared" si="6"/>
        <v>682</v>
      </c>
      <c r="C15" s="10">
        <f t="shared" ref="C15:C32" si="11">ROUND((R14-(R14*$P$4)),0)</f>
        <v>3320</v>
      </c>
      <c r="D15" s="10">
        <f t="shared" ref="D15:D32" si="12">ROUND((S14-(S14*$P$5)),0)</f>
        <v>1246</v>
      </c>
      <c r="E15" s="10">
        <f t="shared" ref="E15:E32" si="13">ROUND((T14-(T14*$P$6)),0)</f>
        <v>1352</v>
      </c>
      <c r="F15" s="10">
        <f t="shared" ref="F15:F32" si="14">ROUND((U14-(U14*$P$7)),0)</f>
        <v>2057</v>
      </c>
      <c r="G15" s="10">
        <f t="shared" ref="G15:G32" si="15">ROUND((V14-(V14*$P$8)),0)</f>
        <v>2124</v>
      </c>
      <c r="H15" s="10">
        <f t="shared" ref="H15:H32" si="16">(B15+C15+D15+E15+F15+G15)</f>
        <v>10781</v>
      </c>
      <c r="I15" s="10">
        <f t="shared" si="4"/>
        <v>642</v>
      </c>
      <c r="J15" s="10">
        <f t="shared" ref="J15:J32" si="17">ROUND((C15-(C15*$M$4)),0)</f>
        <v>2932</v>
      </c>
      <c r="K15" s="10">
        <f t="shared" ref="K15:K32" si="18">ROUND((D15-(D15*$M$5)),0)</f>
        <v>1172</v>
      </c>
      <c r="L15" s="10">
        <f t="shared" ref="L15:L32" si="19">ROUND((E15-(E15*$M$6)),0)</f>
        <v>1352</v>
      </c>
      <c r="M15" s="10">
        <f t="shared" ref="M15:M32" si="20">ROUND((F15-(F15*$M$7)),0)</f>
        <v>1469</v>
      </c>
      <c r="N15" s="10">
        <f t="shared" ref="N15:N32" si="21">ROUND((G15-(G15*$M$8)),0)</f>
        <v>1517</v>
      </c>
      <c r="O15" s="10">
        <f t="shared" ref="O15:O32" si="22">ROUND((((J15*$B$8) + (L15*$B$9))/2),0)</f>
        <v>2481</v>
      </c>
      <c r="P15" s="10">
        <f t="shared" ref="P15:P32" si="23">O15</f>
        <v>2481</v>
      </c>
      <c r="Q15" s="10">
        <f t="shared" si="5"/>
        <v>1707</v>
      </c>
      <c r="R15" s="10">
        <f t="shared" ref="R15:R32" si="24">ROUND(((J15+L15) - ((J15+L15)*$M$4)),0)</f>
        <v>3784</v>
      </c>
      <c r="S15" s="10">
        <f t="shared" ref="S15:S32" si="25">ROUND((M15-(M15*$M$5)),0)</f>
        <v>1382</v>
      </c>
      <c r="T15" s="10">
        <f t="shared" ref="T15:T32" si="26">ROUND((N15-(N15*$M$6)),0)</f>
        <v>1517</v>
      </c>
      <c r="U15" s="10">
        <f t="shared" ref="U15:V32" si="27">ROUND((O15-(O15*$M$9)),0)</f>
        <v>1763</v>
      </c>
      <c r="V15" s="10">
        <f t="shared" si="27"/>
        <v>1763</v>
      </c>
      <c r="W15" s="10">
        <f t="shared" ref="W15:W32" si="28">Q15+R15+S15+T15+U15+V15</f>
        <v>11916</v>
      </c>
      <c r="X15" s="10">
        <f t="shared" ref="X15:X32" si="29">ROUND((W15/W14),2)</f>
        <v>0.82</v>
      </c>
      <c r="Z15" s="14">
        <f t="shared" si="7"/>
        <v>4962</v>
      </c>
      <c r="AA15" s="14">
        <f t="shared" si="8"/>
        <v>4181</v>
      </c>
      <c r="AB15" s="14">
        <f t="shared" si="9"/>
        <v>2598</v>
      </c>
      <c r="AC15" s="14">
        <f t="shared" si="10"/>
        <v>4002</v>
      </c>
    </row>
    <row r="16" spans="1:29" x14ac:dyDescent="0.25">
      <c r="A16" s="8">
        <v>2006</v>
      </c>
      <c r="B16" s="10">
        <f t="shared" si="6"/>
        <v>563</v>
      </c>
      <c r="C16" s="10">
        <f t="shared" si="11"/>
        <v>2497</v>
      </c>
      <c r="D16" s="10">
        <f t="shared" si="12"/>
        <v>1216</v>
      </c>
      <c r="E16" s="10">
        <f t="shared" si="13"/>
        <v>1320</v>
      </c>
      <c r="F16" s="10">
        <f t="shared" si="14"/>
        <v>1622</v>
      </c>
      <c r="G16" s="10">
        <f t="shared" si="15"/>
        <v>1675</v>
      </c>
      <c r="H16" s="10">
        <f t="shared" si="16"/>
        <v>8893</v>
      </c>
      <c r="I16" s="10">
        <f t="shared" si="4"/>
        <v>530</v>
      </c>
      <c r="J16" s="10">
        <f t="shared" si="17"/>
        <v>2205</v>
      </c>
      <c r="K16" s="10">
        <f t="shared" si="18"/>
        <v>1144</v>
      </c>
      <c r="L16" s="10">
        <f t="shared" si="19"/>
        <v>1320</v>
      </c>
      <c r="M16" s="10">
        <f t="shared" si="20"/>
        <v>1158</v>
      </c>
      <c r="N16" s="10">
        <f t="shared" si="21"/>
        <v>1196</v>
      </c>
      <c r="O16" s="10">
        <f t="shared" si="22"/>
        <v>1896</v>
      </c>
      <c r="P16" s="10">
        <f t="shared" si="23"/>
        <v>1896</v>
      </c>
      <c r="Q16" s="10">
        <f t="shared" si="5"/>
        <v>1575</v>
      </c>
      <c r="R16" s="10">
        <f t="shared" si="24"/>
        <v>3113</v>
      </c>
      <c r="S16" s="10">
        <f t="shared" si="25"/>
        <v>1089</v>
      </c>
      <c r="T16" s="10">
        <f t="shared" si="26"/>
        <v>1196</v>
      </c>
      <c r="U16" s="10">
        <f t="shared" si="27"/>
        <v>1347</v>
      </c>
      <c r="V16" s="10">
        <f t="shared" si="27"/>
        <v>1347</v>
      </c>
      <c r="W16" s="10">
        <f t="shared" si="28"/>
        <v>9667</v>
      </c>
      <c r="X16" s="10">
        <f t="shared" si="29"/>
        <v>0.81</v>
      </c>
      <c r="Z16" s="14">
        <f t="shared" si="7"/>
        <v>3792</v>
      </c>
      <c r="AA16" s="14">
        <f t="shared" si="8"/>
        <v>3297</v>
      </c>
      <c r="AB16" s="14">
        <f t="shared" si="9"/>
        <v>2536</v>
      </c>
      <c r="AC16" s="14">
        <f t="shared" si="10"/>
        <v>3060</v>
      </c>
    </row>
    <row r="17" spans="1:29" x14ac:dyDescent="0.25">
      <c r="A17" s="8">
        <v>2007</v>
      </c>
      <c r="B17" s="10">
        <f t="shared" si="6"/>
        <v>520</v>
      </c>
      <c r="C17" s="10">
        <f t="shared" si="11"/>
        <v>2055</v>
      </c>
      <c r="D17" s="10">
        <f t="shared" si="12"/>
        <v>958</v>
      </c>
      <c r="E17" s="10">
        <f t="shared" si="13"/>
        <v>1041</v>
      </c>
      <c r="F17" s="10">
        <f t="shared" si="14"/>
        <v>1239</v>
      </c>
      <c r="G17" s="10">
        <f t="shared" si="15"/>
        <v>1280</v>
      </c>
      <c r="H17" s="10">
        <f t="shared" si="16"/>
        <v>7093</v>
      </c>
      <c r="I17" s="10">
        <f t="shared" si="4"/>
        <v>489</v>
      </c>
      <c r="J17" s="10">
        <f t="shared" si="17"/>
        <v>1815</v>
      </c>
      <c r="K17" s="10">
        <f t="shared" si="18"/>
        <v>901</v>
      </c>
      <c r="L17" s="10">
        <f t="shared" si="19"/>
        <v>1041</v>
      </c>
      <c r="M17" s="10">
        <f t="shared" si="20"/>
        <v>885</v>
      </c>
      <c r="N17" s="10">
        <f t="shared" si="21"/>
        <v>914</v>
      </c>
      <c r="O17" s="10">
        <f t="shared" si="22"/>
        <v>1556</v>
      </c>
      <c r="P17" s="10">
        <f t="shared" si="23"/>
        <v>1556</v>
      </c>
      <c r="Q17" s="10">
        <f t="shared" si="5"/>
        <v>1308</v>
      </c>
      <c r="R17" s="10">
        <f t="shared" si="24"/>
        <v>2522</v>
      </c>
      <c r="S17" s="10">
        <f t="shared" si="25"/>
        <v>833</v>
      </c>
      <c r="T17" s="10">
        <f t="shared" si="26"/>
        <v>914</v>
      </c>
      <c r="U17" s="10">
        <f t="shared" si="27"/>
        <v>1106</v>
      </c>
      <c r="V17" s="10">
        <f t="shared" si="27"/>
        <v>1106</v>
      </c>
      <c r="W17" s="10">
        <f t="shared" si="28"/>
        <v>7789</v>
      </c>
      <c r="X17" s="10">
        <f t="shared" si="29"/>
        <v>0.81</v>
      </c>
      <c r="Z17" s="14">
        <f t="shared" si="7"/>
        <v>3112</v>
      </c>
      <c r="AA17" s="14">
        <f t="shared" si="8"/>
        <v>2519</v>
      </c>
      <c r="AB17" s="14">
        <f t="shared" si="9"/>
        <v>1999</v>
      </c>
      <c r="AC17" s="14">
        <f t="shared" si="10"/>
        <v>2575</v>
      </c>
    </row>
    <row r="18" spans="1:29" x14ac:dyDescent="0.25">
      <c r="A18" s="8">
        <v>2008</v>
      </c>
      <c r="B18" s="10">
        <f t="shared" si="6"/>
        <v>432</v>
      </c>
      <c r="C18" s="10">
        <f t="shared" si="11"/>
        <v>1665</v>
      </c>
      <c r="D18" s="10">
        <f t="shared" si="12"/>
        <v>733</v>
      </c>
      <c r="E18" s="10">
        <f t="shared" si="13"/>
        <v>795</v>
      </c>
      <c r="F18" s="10">
        <f t="shared" si="14"/>
        <v>1018</v>
      </c>
      <c r="G18" s="10">
        <f t="shared" si="15"/>
        <v>1051</v>
      </c>
      <c r="H18" s="10">
        <f t="shared" si="16"/>
        <v>5694</v>
      </c>
      <c r="I18" s="10">
        <f t="shared" si="4"/>
        <v>406</v>
      </c>
      <c r="J18" s="10">
        <f t="shared" si="17"/>
        <v>1470</v>
      </c>
      <c r="K18" s="10">
        <f t="shared" si="18"/>
        <v>690</v>
      </c>
      <c r="L18" s="10">
        <f t="shared" si="19"/>
        <v>795</v>
      </c>
      <c r="M18" s="10">
        <f t="shared" si="20"/>
        <v>727</v>
      </c>
      <c r="N18" s="10">
        <f t="shared" si="21"/>
        <v>751</v>
      </c>
      <c r="O18" s="10">
        <f t="shared" si="22"/>
        <v>1256</v>
      </c>
      <c r="P18" s="10">
        <f t="shared" si="23"/>
        <v>1256</v>
      </c>
      <c r="Q18" s="10">
        <f t="shared" si="5"/>
        <v>1031</v>
      </c>
      <c r="R18" s="10">
        <f t="shared" si="24"/>
        <v>2000</v>
      </c>
      <c r="S18" s="10">
        <f t="shared" si="25"/>
        <v>684</v>
      </c>
      <c r="T18" s="10">
        <f t="shared" si="26"/>
        <v>751</v>
      </c>
      <c r="U18" s="10">
        <f t="shared" si="27"/>
        <v>893</v>
      </c>
      <c r="V18" s="10">
        <f t="shared" si="27"/>
        <v>893</v>
      </c>
      <c r="W18" s="10">
        <f t="shared" si="28"/>
        <v>6252</v>
      </c>
      <c r="X18" s="10">
        <f t="shared" si="29"/>
        <v>0.8</v>
      </c>
      <c r="Z18" s="14">
        <f t="shared" si="7"/>
        <v>2512</v>
      </c>
      <c r="AA18" s="14">
        <f t="shared" si="8"/>
        <v>2069</v>
      </c>
      <c r="AB18" s="14">
        <f t="shared" si="9"/>
        <v>1528</v>
      </c>
      <c r="AC18" s="14">
        <f t="shared" si="10"/>
        <v>2097</v>
      </c>
    </row>
    <row r="19" spans="1:29" x14ac:dyDescent="0.25">
      <c r="A19" s="8">
        <v>2009</v>
      </c>
      <c r="B19" s="10">
        <f t="shared" si="6"/>
        <v>340</v>
      </c>
      <c r="C19" s="10">
        <f t="shared" si="11"/>
        <v>1320</v>
      </c>
      <c r="D19" s="10">
        <f t="shared" si="12"/>
        <v>602</v>
      </c>
      <c r="E19" s="10">
        <f t="shared" si="13"/>
        <v>653</v>
      </c>
      <c r="F19" s="10">
        <f t="shared" si="14"/>
        <v>822</v>
      </c>
      <c r="G19" s="10">
        <f t="shared" si="15"/>
        <v>848</v>
      </c>
      <c r="H19" s="10">
        <f t="shared" si="16"/>
        <v>4585</v>
      </c>
      <c r="I19" s="10">
        <f t="shared" si="4"/>
        <v>320</v>
      </c>
      <c r="J19" s="10">
        <f t="shared" si="17"/>
        <v>1166</v>
      </c>
      <c r="K19" s="10">
        <f t="shared" si="18"/>
        <v>566</v>
      </c>
      <c r="L19" s="10">
        <f t="shared" si="19"/>
        <v>653</v>
      </c>
      <c r="M19" s="10">
        <f t="shared" si="20"/>
        <v>587</v>
      </c>
      <c r="N19" s="10">
        <f t="shared" si="21"/>
        <v>606</v>
      </c>
      <c r="O19" s="10">
        <f t="shared" si="22"/>
        <v>998</v>
      </c>
      <c r="P19" s="10">
        <f t="shared" si="23"/>
        <v>998</v>
      </c>
      <c r="Q19" s="10">
        <f t="shared" si="5"/>
        <v>833</v>
      </c>
      <c r="R19" s="10">
        <f t="shared" si="24"/>
        <v>1606</v>
      </c>
      <c r="S19" s="10">
        <f t="shared" si="25"/>
        <v>552</v>
      </c>
      <c r="T19" s="10">
        <f t="shared" si="26"/>
        <v>606</v>
      </c>
      <c r="U19" s="10">
        <f t="shared" si="27"/>
        <v>709</v>
      </c>
      <c r="V19" s="10">
        <f t="shared" si="27"/>
        <v>709</v>
      </c>
      <c r="W19" s="10">
        <f t="shared" si="28"/>
        <v>5015</v>
      </c>
      <c r="X19" s="10">
        <f t="shared" si="29"/>
        <v>0.8</v>
      </c>
      <c r="Z19" s="14">
        <f t="shared" si="7"/>
        <v>1996</v>
      </c>
      <c r="AA19" s="14">
        <f t="shared" si="8"/>
        <v>1670</v>
      </c>
      <c r="AB19" s="14">
        <f t="shared" si="9"/>
        <v>1255</v>
      </c>
      <c r="AC19" s="14">
        <f t="shared" si="10"/>
        <v>1660</v>
      </c>
    </row>
    <row r="20" spans="1:29" x14ac:dyDescent="0.25">
      <c r="A20" s="8">
        <v>2010</v>
      </c>
      <c r="B20" s="10">
        <f t="shared" si="6"/>
        <v>275</v>
      </c>
      <c r="C20" s="10">
        <f t="shared" si="11"/>
        <v>1060</v>
      </c>
      <c r="D20" s="10">
        <f t="shared" si="12"/>
        <v>486</v>
      </c>
      <c r="E20" s="10">
        <f t="shared" si="13"/>
        <v>527</v>
      </c>
      <c r="F20" s="10">
        <f t="shared" si="14"/>
        <v>652</v>
      </c>
      <c r="G20" s="10">
        <f t="shared" si="15"/>
        <v>674</v>
      </c>
      <c r="H20" s="10">
        <f t="shared" si="16"/>
        <v>3674</v>
      </c>
      <c r="I20" s="10">
        <f t="shared" si="4"/>
        <v>259</v>
      </c>
      <c r="J20" s="10">
        <f t="shared" si="17"/>
        <v>936</v>
      </c>
      <c r="K20" s="10">
        <f t="shared" si="18"/>
        <v>457</v>
      </c>
      <c r="L20" s="10">
        <f t="shared" si="19"/>
        <v>527</v>
      </c>
      <c r="M20" s="10">
        <f t="shared" si="20"/>
        <v>466</v>
      </c>
      <c r="N20" s="10">
        <f t="shared" si="21"/>
        <v>481</v>
      </c>
      <c r="O20" s="10">
        <f t="shared" si="22"/>
        <v>802</v>
      </c>
      <c r="P20" s="10">
        <f t="shared" si="23"/>
        <v>802</v>
      </c>
      <c r="Q20" s="10">
        <f t="shared" si="5"/>
        <v>674</v>
      </c>
      <c r="R20" s="10">
        <f t="shared" si="24"/>
        <v>1292</v>
      </c>
      <c r="S20" s="10">
        <f t="shared" si="25"/>
        <v>438</v>
      </c>
      <c r="T20" s="10">
        <f t="shared" si="26"/>
        <v>481</v>
      </c>
      <c r="U20" s="10">
        <f t="shared" si="27"/>
        <v>570</v>
      </c>
      <c r="V20" s="10">
        <f t="shared" si="27"/>
        <v>570</v>
      </c>
      <c r="W20" s="10">
        <f t="shared" si="28"/>
        <v>4025</v>
      </c>
      <c r="X20" s="10">
        <f t="shared" si="29"/>
        <v>0.8</v>
      </c>
      <c r="Z20" s="14">
        <f t="shared" si="7"/>
        <v>1604</v>
      </c>
      <c r="AA20" s="14">
        <f t="shared" si="8"/>
        <v>1326</v>
      </c>
      <c r="AB20" s="14">
        <f t="shared" si="9"/>
        <v>1013</v>
      </c>
      <c r="AC20" s="14">
        <f t="shared" si="10"/>
        <v>1335</v>
      </c>
    </row>
    <row r="21" spans="1:29" x14ac:dyDescent="0.25">
      <c r="A21" s="8">
        <v>2011</v>
      </c>
      <c r="B21" s="10">
        <f t="shared" si="6"/>
        <v>222</v>
      </c>
      <c r="C21" s="10">
        <f t="shared" si="11"/>
        <v>853</v>
      </c>
      <c r="D21" s="10">
        <f t="shared" si="12"/>
        <v>385</v>
      </c>
      <c r="E21" s="10">
        <f t="shared" si="13"/>
        <v>418</v>
      </c>
      <c r="F21" s="10">
        <f t="shared" si="14"/>
        <v>524</v>
      </c>
      <c r="G21" s="10">
        <f t="shared" si="15"/>
        <v>542</v>
      </c>
      <c r="H21" s="10">
        <f t="shared" si="16"/>
        <v>2944</v>
      </c>
      <c r="I21" s="10">
        <f t="shared" si="4"/>
        <v>209</v>
      </c>
      <c r="J21" s="10">
        <f t="shared" si="17"/>
        <v>753</v>
      </c>
      <c r="K21" s="10">
        <f t="shared" si="18"/>
        <v>362</v>
      </c>
      <c r="L21" s="10">
        <f t="shared" si="19"/>
        <v>418</v>
      </c>
      <c r="M21" s="10">
        <f t="shared" si="20"/>
        <v>374</v>
      </c>
      <c r="N21" s="10">
        <f t="shared" si="21"/>
        <v>387</v>
      </c>
      <c r="O21" s="10">
        <f t="shared" si="22"/>
        <v>644</v>
      </c>
      <c r="P21" s="10">
        <f t="shared" si="23"/>
        <v>644</v>
      </c>
      <c r="Q21" s="10">
        <f t="shared" si="5"/>
        <v>537</v>
      </c>
      <c r="R21" s="10">
        <f t="shared" si="24"/>
        <v>1034</v>
      </c>
      <c r="S21" s="10">
        <f t="shared" si="25"/>
        <v>352</v>
      </c>
      <c r="T21" s="10">
        <f t="shared" si="26"/>
        <v>387</v>
      </c>
      <c r="U21" s="10">
        <f t="shared" si="27"/>
        <v>458</v>
      </c>
      <c r="V21" s="10">
        <f t="shared" si="27"/>
        <v>458</v>
      </c>
      <c r="W21" s="10">
        <f t="shared" si="28"/>
        <v>3226</v>
      </c>
      <c r="X21" s="10">
        <f t="shared" si="29"/>
        <v>0.8</v>
      </c>
      <c r="Z21" s="14">
        <f t="shared" si="7"/>
        <v>1288</v>
      </c>
      <c r="AA21" s="14">
        <f t="shared" si="8"/>
        <v>1066</v>
      </c>
      <c r="AB21" s="14">
        <f t="shared" si="9"/>
        <v>803</v>
      </c>
      <c r="AC21" s="14">
        <f t="shared" si="10"/>
        <v>1075</v>
      </c>
    </row>
    <row r="22" spans="1:29" x14ac:dyDescent="0.25">
      <c r="A22" s="8">
        <v>2012</v>
      </c>
      <c r="B22" s="10">
        <f t="shared" si="6"/>
        <v>177</v>
      </c>
      <c r="C22" s="10">
        <f t="shared" si="11"/>
        <v>682</v>
      </c>
      <c r="D22" s="10">
        <f t="shared" si="12"/>
        <v>310</v>
      </c>
      <c r="E22" s="10">
        <f t="shared" si="13"/>
        <v>337</v>
      </c>
      <c r="F22" s="10">
        <f t="shared" si="14"/>
        <v>421</v>
      </c>
      <c r="G22" s="10">
        <f t="shared" si="15"/>
        <v>435</v>
      </c>
      <c r="H22" s="10">
        <f t="shared" si="16"/>
        <v>2362</v>
      </c>
      <c r="I22" s="10">
        <f t="shared" si="4"/>
        <v>167</v>
      </c>
      <c r="J22" s="10">
        <f t="shared" si="17"/>
        <v>602</v>
      </c>
      <c r="K22" s="10">
        <f t="shared" si="18"/>
        <v>292</v>
      </c>
      <c r="L22" s="10">
        <f t="shared" si="19"/>
        <v>337</v>
      </c>
      <c r="M22" s="10">
        <f t="shared" si="20"/>
        <v>301</v>
      </c>
      <c r="N22" s="10">
        <f t="shared" si="21"/>
        <v>311</v>
      </c>
      <c r="O22" s="10">
        <f t="shared" si="22"/>
        <v>515</v>
      </c>
      <c r="P22" s="10">
        <f t="shared" si="23"/>
        <v>515</v>
      </c>
      <c r="Q22" s="10">
        <f t="shared" si="5"/>
        <v>432</v>
      </c>
      <c r="R22" s="10">
        <f t="shared" si="24"/>
        <v>829</v>
      </c>
      <c r="S22" s="10">
        <f t="shared" si="25"/>
        <v>283</v>
      </c>
      <c r="T22" s="10">
        <f t="shared" si="26"/>
        <v>311</v>
      </c>
      <c r="U22" s="10">
        <f t="shared" si="27"/>
        <v>366</v>
      </c>
      <c r="V22" s="10">
        <f t="shared" si="27"/>
        <v>366</v>
      </c>
      <c r="W22" s="10">
        <f t="shared" si="28"/>
        <v>2587</v>
      </c>
      <c r="X22" s="10">
        <f t="shared" si="29"/>
        <v>0.8</v>
      </c>
      <c r="Z22" s="14">
        <f t="shared" si="7"/>
        <v>1030</v>
      </c>
      <c r="AA22" s="14">
        <f t="shared" si="8"/>
        <v>856</v>
      </c>
      <c r="AB22" s="14">
        <f t="shared" si="9"/>
        <v>647</v>
      </c>
      <c r="AC22" s="14">
        <f t="shared" si="10"/>
        <v>859</v>
      </c>
    </row>
    <row r="23" spans="1:29" x14ac:dyDescent="0.25">
      <c r="A23" s="8">
        <v>2013</v>
      </c>
      <c r="B23" s="10">
        <f t="shared" si="6"/>
        <v>143</v>
      </c>
      <c r="C23" s="10">
        <f t="shared" si="11"/>
        <v>547</v>
      </c>
      <c r="D23" s="10">
        <f t="shared" si="12"/>
        <v>249</v>
      </c>
      <c r="E23" s="10">
        <f t="shared" si="13"/>
        <v>271</v>
      </c>
      <c r="F23" s="10">
        <f t="shared" si="14"/>
        <v>337</v>
      </c>
      <c r="G23" s="10">
        <f t="shared" si="15"/>
        <v>348</v>
      </c>
      <c r="H23" s="10">
        <f t="shared" si="16"/>
        <v>1895</v>
      </c>
      <c r="I23" s="10">
        <f t="shared" si="4"/>
        <v>135</v>
      </c>
      <c r="J23" s="10">
        <f t="shared" si="17"/>
        <v>483</v>
      </c>
      <c r="K23" s="10">
        <f t="shared" si="18"/>
        <v>234</v>
      </c>
      <c r="L23" s="10">
        <f t="shared" si="19"/>
        <v>271</v>
      </c>
      <c r="M23" s="10">
        <f t="shared" si="20"/>
        <v>241</v>
      </c>
      <c r="N23" s="10">
        <f t="shared" si="21"/>
        <v>249</v>
      </c>
      <c r="O23" s="10">
        <f t="shared" si="22"/>
        <v>414</v>
      </c>
      <c r="P23" s="10">
        <f t="shared" si="23"/>
        <v>414</v>
      </c>
      <c r="Q23" s="10">
        <f t="shared" si="5"/>
        <v>347</v>
      </c>
      <c r="R23" s="10">
        <f t="shared" si="24"/>
        <v>666</v>
      </c>
      <c r="S23" s="10">
        <f t="shared" si="25"/>
        <v>227</v>
      </c>
      <c r="T23" s="10">
        <f t="shared" si="26"/>
        <v>249</v>
      </c>
      <c r="U23" s="10">
        <f t="shared" si="27"/>
        <v>294</v>
      </c>
      <c r="V23" s="10">
        <f t="shared" si="27"/>
        <v>294</v>
      </c>
      <c r="W23" s="10">
        <f t="shared" si="28"/>
        <v>2077</v>
      </c>
      <c r="X23" s="10">
        <f t="shared" si="29"/>
        <v>0.8</v>
      </c>
      <c r="Z23" s="14">
        <f t="shared" si="7"/>
        <v>828</v>
      </c>
      <c r="AA23" s="14">
        <f t="shared" si="8"/>
        <v>685</v>
      </c>
      <c r="AB23" s="14">
        <f t="shared" si="9"/>
        <v>520</v>
      </c>
      <c r="AC23" s="14">
        <f t="shared" si="10"/>
        <v>690</v>
      </c>
    </row>
    <row r="24" spans="1:29" x14ac:dyDescent="0.25">
      <c r="A24" s="8">
        <v>2014</v>
      </c>
      <c r="B24" s="10">
        <f t="shared" si="6"/>
        <v>115</v>
      </c>
      <c r="C24" s="10">
        <f t="shared" si="11"/>
        <v>440</v>
      </c>
      <c r="D24" s="10">
        <f t="shared" si="12"/>
        <v>200</v>
      </c>
      <c r="E24" s="10">
        <f t="shared" si="13"/>
        <v>217</v>
      </c>
      <c r="F24" s="10">
        <f t="shared" si="14"/>
        <v>270</v>
      </c>
      <c r="G24" s="10">
        <f t="shared" si="15"/>
        <v>279</v>
      </c>
      <c r="H24" s="10">
        <f t="shared" si="16"/>
        <v>1521</v>
      </c>
      <c r="I24" s="10">
        <f t="shared" si="4"/>
        <v>108</v>
      </c>
      <c r="J24" s="10">
        <f t="shared" si="17"/>
        <v>389</v>
      </c>
      <c r="K24" s="10">
        <f t="shared" si="18"/>
        <v>188</v>
      </c>
      <c r="L24" s="10">
        <f t="shared" si="19"/>
        <v>217</v>
      </c>
      <c r="M24" s="10">
        <f t="shared" si="20"/>
        <v>193</v>
      </c>
      <c r="N24" s="10">
        <f t="shared" si="21"/>
        <v>199</v>
      </c>
      <c r="O24" s="10">
        <f t="shared" si="22"/>
        <v>333</v>
      </c>
      <c r="P24" s="10">
        <f t="shared" si="23"/>
        <v>333</v>
      </c>
      <c r="Q24" s="10">
        <f t="shared" si="5"/>
        <v>278</v>
      </c>
      <c r="R24" s="10">
        <f t="shared" si="24"/>
        <v>535</v>
      </c>
      <c r="S24" s="10">
        <f t="shared" si="25"/>
        <v>182</v>
      </c>
      <c r="T24" s="10">
        <f t="shared" si="26"/>
        <v>199</v>
      </c>
      <c r="U24" s="10">
        <f t="shared" si="27"/>
        <v>237</v>
      </c>
      <c r="V24" s="10">
        <f t="shared" si="27"/>
        <v>237</v>
      </c>
      <c r="W24" s="10">
        <f t="shared" si="28"/>
        <v>1668</v>
      </c>
      <c r="X24" s="10">
        <f t="shared" si="29"/>
        <v>0.8</v>
      </c>
      <c r="Z24" s="14">
        <f t="shared" si="7"/>
        <v>666</v>
      </c>
      <c r="AA24" s="14">
        <f t="shared" si="8"/>
        <v>549</v>
      </c>
      <c r="AB24" s="14">
        <f t="shared" si="9"/>
        <v>417</v>
      </c>
      <c r="AC24" s="14">
        <f t="shared" si="10"/>
        <v>555</v>
      </c>
    </row>
    <row r="25" spans="1:29" x14ac:dyDescent="0.25">
      <c r="A25" s="8">
        <v>2015</v>
      </c>
      <c r="B25" s="10">
        <f t="shared" si="6"/>
        <v>92</v>
      </c>
      <c r="C25" s="10">
        <f t="shared" si="11"/>
        <v>353</v>
      </c>
      <c r="D25" s="10">
        <f t="shared" si="12"/>
        <v>160</v>
      </c>
      <c r="E25" s="10">
        <f t="shared" si="13"/>
        <v>173</v>
      </c>
      <c r="F25" s="10">
        <f t="shared" si="14"/>
        <v>218</v>
      </c>
      <c r="G25" s="10">
        <f t="shared" si="15"/>
        <v>225</v>
      </c>
      <c r="H25" s="10">
        <f t="shared" si="16"/>
        <v>1221</v>
      </c>
      <c r="I25" s="10">
        <f t="shared" si="4"/>
        <v>87</v>
      </c>
      <c r="J25" s="10">
        <f t="shared" si="17"/>
        <v>312</v>
      </c>
      <c r="K25" s="10">
        <f t="shared" si="18"/>
        <v>151</v>
      </c>
      <c r="L25" s="10">
        <f t="shared" si="19"/>
        <v>173</v>
      </c>
      <c r="M25" s="10">
        <f t="shared" si="20"/>
        <v>156</v>
      </c>
      <c r="N25" s="10">
        <f t="shared" si="21"/>
        <v>161</v>
      </c>
      <c r="O25" s="10">
        <f t="shared" si="22"/>
        <v>267</v>
      </c>
      <c r="P25" s="10">
        <f t="shared" si="23"/>
        <v>267</v>
      </c>
      <c r="Q25" s="10">
        <f t="shared" si="5"/>
        <v>224</v>
      </c>
      <c r="R25" s="10">
        <f t="shared" si="24"/>
        <v>428</v>
      </c>
      <c r="S25" s="10">
        <f t="shared" si="25"/>
        <v>147</v>
      </c>
      <c r="T25" s="10">
        <f t="shared" si="26"/>
        <v>161</v>
      </c>
      <c r="U25" s="10">
        <f t="shared" si="27"/>
        <v>190</v>
      </c>
      <c r="V25" s="10">
        <f t="shared" si="27"/>
        <v>190</v>
      </c>
      <c r="W25" s="10">
        <f t="shared" si="28"/>
        <v>1340</v>
      </c>
      <c r="X25" s="10">
        <f t="shared" si="29"/>
        <v>0.8</v>
      </c>
      <c r="Z25" s="14">
        <f t="shared" si="7"/>
        <v>534</v>
      </c>
      <c r="AA25" s="14">
        <f t="shared" si="8"/>
        <v>443</v>
      </c>
      <c r="AB25" s="14">
        <f t="shared" si="9"/>
        <v>333</v>
      </c>
      <c r="AC25" s="14">
        <f t="shared" si="10"/>
        <v>445</v>
      </c>
    </row>
    <row r="26" spans="1:29" x14ac:dyDescent="0.25">
      <c r="A26" s="8">
        <v>2016</v>
      </c>
      <c r="B26" s="10">
        <f t="shared" si="6"/>
        <v>74</v>
      </c>
      <c r="C26" s="10">
        <f t="shared" si="11"/>
        <v>282</v>
      </c>
      <c r="D26" s="10">
        <f t="shared" si="12"/>
        <v>129</v>
      </c>
      <c r="E26" s="10">
        <f t="shared" si="13"/>
        <v>140</v>
      </c>
      <c r="F26" s="10">
        <f t="shared" si="14"/>
        <v>175</v>
      </c>
      <c r="G26" s="10">
        <f t="shared" si="15"/>
        <v>181</v>
      </c>
      <c r="H26" s="10">
        <f t="shared" si="16"/>
        <v>981</v>
      </c>
      <c r="I26" s="10">
        <f t="shared" si="4"/>
        <v>70</v>
      </c>
      <c r="J26" s="10">
        <f t="shared" si="17"/>
        <v>249</v>
      </c>
      <c r="K26" s="10">
        <f t="shared" si="18"/>
        <v>121</v>
      </c>
      <c r="L26" s="10">
        <f t="shared" si="19"/>
        <v>140</v>
      </c>
      <c r="M26" s="10">
        <f t="shared" si="20"/>
        <v>125</v>
      </c>
      <c r="N26" s="10">
        <f t="shared" si="21"/>
        <v>129</v>
      </c>
      <c r="O26" s="10">
        <f t="shared" si="22"/>
        <v>213</v>
      </c>
      <c r="P26" s="10">
        <f t="shared" si="23"/>
        <v>213</v>
      </c>
      <c r="Q26" s="10">
        <f t="shared" si="5"/>
        <v>180</v>
      </c>
      <c r="R26" s="10">
        <f t="shared" si="24"/>
        <v>344</v>
      </c>
      <c r="S26" s="10">
        <f t="shared" si="25"/>
        <v>118</v>
      </c>
      <c r="T26" s="10">
        <f t="shared" si="26"/>
        <v>129</v>
      </c>
      <c r="U26" s="10">
        <f t="shared" si="27"/>
        <v>151</v>
      </c>
      <c r="V26" s="10">
        <f t="shared" si="27"/>
        <v>151</v>
      </c>
      <c r="W26" s="10">
        <f t="shared" si="28"/>
        <v>1073</v>
      </c>
      <c r="X26" s="10">
        <f t="shared" si="29"/>
        <v>0.8</v>
      </c>
      <c r="Z26" s="14">
        <f t="shared" si="7"/>
        <v>426</v>
      </c>
      <c r="AA26" s="14">
        <f t="shared" si="8"/>
        <v>356</v>
      </c>
      <c r="AB26" s="14">
        <f t="shared" si="9"/>
        <v>269</v>
      </c>
      <c r="AC26" s="14">
        <f t="shared" si="10"/>
        <v>356</v>
      </c>
    </row>
    <row r="27" spans="1:29" x14ac:dyDescent="0.25">
      <c r="A27" s="8">
        <v>2017</v>
      </c>
      <c r="B27" s="10">
        <f t="shared" si="6"/>
        <v>59</v>
      </c>
      <c r="C27" s="10">
        <f t="shared" si="11"/>
        <v>227</v>
      </c>
      <c r="D27" s="10">
        <f t="shared" si="12"/>
        <v>104</v>
      </c>
      <c r="E27" s="10">
        <f t="shared" si="13"/>
        <v>112</v>
      </c>
      <c r="F27" s="10">
        <f t="shared" si="14"/>
        <v>139</v>
      </c>
      <c r="G27" s="10">
        <f t="shared" si="15"/>
        <v>143</v>
      </c>
      <c r="H27" s="10">
        <f t="shared" si="16"/>
        <v>784</v>
      </c>
      <c r="I27" s="10">
        <f t="shared" si="4"/>
        <v>56</v>
      </c>
      <c r="J27" s="10">
        <f t="shared" si="17"/>
        <v>200</v>
      </c>
      <c r="K27" s="10">
        <f t="shared" si="18"/>
        <v>98</v>
      </c>
      <c r="L27" s="10">
        <f t="shared" si="19"/>
        <v>112</v>
      </c>
      <c r="M27" s="10">
        <f t="shared" si="20"/>
        <v>99</v>
      </c>
      <c r="N27" s="10">
        <f t="shared" si="21"/>
        <v>102</v>
      </c>
      <c r="O27" s="10">
        <f t="shared" si="22"/>
        <v>171</v>
      </c>
      <c r="P27" s="10">
        <f t="shared" si="23"/>
        <v>171</v>
      </c>
      <c r="Q27" s="10">
        <f t="shared" si="5"/>
        <v>145</v>
      </c>
      <c r="R27" s="10">
        <f t="shared" si="24"/>
        <v>276</v>
      </c>
      <c r="S27" s="10">
        <f t="shared" si="25"/>
        <v>93</v>
      </c>
      <c r="T27" s="10">
        <f t="shared" si="26"/>
        <v>102</v>
      </c>
      <c r="U27" s="10">
        <f t="shared" si="27"/>
        <v>122</v>
      </c>
      <c r="V27" s="10">
        <f t="shared" si="27"/>
        <v>122</v>
      </c>
      <c r="W27" s="10">
        <f t="shared" si="28"/>
        <v>860</v>
      </c>
      <c r="X27" s="10">
        <f t="shared" si="29"/>
        <v>0.8</v>
      </c>
      <c r="Z27" s="14">
        <f t="shared" si="7"/>
        <v>342</v>
      </c>
      <c r="AA27" s="14">
        <f t="shared" si="8"/>
        <v>282</v>
      </c>
      <c r="AB27" s="14">
        <f t="shared" si="9"/>
        <v>216</v>
      </c>
      <c r="AC27" s="14">
        <f t="shared" si="10"/>
        <v>286</v>
      </c>
    </row>
    <row r="28" spans="1:29" x14ac:dyDescent="0.25">
      <c r="A28" s="8">
        <v>2018</v>
      </c>
      <c r="B28" s="10">
        <f t="shared" si="6"/>
        <v>48</v>
      </c>
      <c r="C28" s="10">
        <f t="shared" si="11"/>
        <v>182</v>
      </c>
      <c r="D28" s="10">
        <f t="shared" si="12"/>
        <v>82</v>
      </c>
      <c r="E28" s="10">
        <f t="shared" si="13"/>
        <v>89</v>
      </c>
      <c r="F28" s="10">
        <f t="shared" si="14"/>
        <v>112</v>
      </c>
      <c r="G28" s="10">
        <f t="shared" si="15"/>
        <v>116</v>
      </c>
      <c r="H28" s="10">
        <f t="shared" si="16"/>
        <v>629</v>
      </c>
      <c r="I28" s="10">
        <f t="shared" si="4"/>
        <v>45</v>
      </c>
      <c r="J28" s="10">
        <f t="shared" si="17"/>
        <v>161</v>
      </c>
      <c r="K28" s="10">
        <f t="shared" si="18"/>
        <v>77</v>
      </c>
      <c r="L28" s="10">
        <f t="shared" si="19"/>
        <v>89</v>
      </c>
      <c r="M28" s="10">
        <f t="shared" si="20"/>
        <v>80</v>
      </c>
      <c r="N28" s="10">
        <f t="shared" si="21"/>
        <v>83</v>
      </c>
      <c r="O28" s="10">
        <f t="shared" si="22"/>
        <v>138</v>
      </c>
      <c r="P28" s="10">
        <f t="shared" si="23"/>
        <v>138</v>
      </c>
      <c r="Q28" s="10">
        <f t="shared" si="5"/>
        <v>115</v>
      </c>
      <c r="R28" s="10">
        <f t="shared" si="24"/>
        <v>221</v>
      </c>
      <c r="S28" s="10">
        <f t="shared" si="25"/>
        <v>75</v>
      </c>
      <c r="T28" s="10">
        <f t="shared" si="26"/>
        <v>83</v>
      </c>
      <c r="U28" s="10">
        <f t="shared" si="27"/>
        <v>98</v>
      </c>
      <c r="V28" s="10">
        <f t="shared" si="27"/>
        <v>98</v>
      </c>
      <c r="W28" s="10">
        <f t="shared" si="28"/>
        <v>690</v>
      </c>
      <c r="X28" s="10">
        <f t="shared" si="29"/>
        <v>0.8</v>
      </c>
      <c r="Z28" s="14">
        <f t="shared" si="7"/>
        <v>276</v>
      </c>
      <c r="AA28" s="14">
        <f t="shared" si="8"/>
        <v>228</v>
      </c>
      <c r="AB28" s="14">
        <f t="shared" si="9"/>
        <v>171</v>
      </c>
      <c r="AC28" s="14">
        <f t="shared" si="10"/>
        <v>230</v>
      </c>
    </row>
    <row r="29" spans="1:29" x14ac:dyDescent="0.25">
      <c r="A29" s="8">
        <v>2019</v>
      </c>
      <c r="B29" s="10">
        <f t="shared" si="6"/>
        <v>38</v>
      </c>
      <c r="C29" s="10">
        <f t="shared" si="11"/>
        <v>146</v>
      </c>
      <c r="D29" s="10">
        <f t="shared" si="12"/>
        <v>66</v>
      </c>
      <c r="E29" s="10">
        <f t="shared" si="13"/>
        <v>72</v>
      </c>
      <c r="F29" s="10">
        <f t="shared" si="14"/>
        <v>90</v>
      </c>
      <c r="G29" s="10">
        <f t="shared" si="15"/>
        <v>93</v>
      </c>
      <c r="H29" s="10">
        <f t="shared" si="16"/>
        <v>505</v>
      </c>
      <c r="I29" s="10">
        <f t="shared" si="4"/>
        <v>36</v>
      </c>
      <c r="J29" s="10">
        <f t="shared" si="17"/>
        <v>129</v>
      </c>
      <c r="K29" s="10">
        <f t="shared" si="18"/>
        <v>62</v>
      </c>
      <c r="L29" s="10">
        <f t="shared" si="19"/>
        <v>72</v>
      </c>
      <c r="M29" s="10">
        <f t="shared" si="20"/>
        <v>64</v>
      </c>
      <c r="N29" s="10">
        <f t="shared" si="21"/>
        <v>66</v>
      </c>
      <c r="O29" s="10">
        <f t="shared" si="22"/>
        <v>110</v>
      </c>
      <c r="P29" s="10">
        <f t="shared" si="23"/>
        <v>110</v>
      </c>
      <c r="Q29" s="10">
        <f t="shared" si="5"/>
        <v>92</v>
      </c>
      <c r="R29" s="10">
        <f t="shared" si="24"/>
        <v>178</v>
      </c>
      <c r="S29" s="10">
        <f t="shared" si="25"/>
        <v>60</v>
      </c>
      <c r="T29" s="10">
        <f t="shared" si="26"/>
        <v>66</v>
      </c>
      <c r="U29" s="10">
        <f t="shared" si="27"/>
        <v>78</v>
      </c>
      <c r="V29" s="10">
        <f t="shared" si="27"/>
        <v>78</v>
      </c>
      <c r="W29" s="10">
        <f t="shared" si="28"/>
        <v>552</v>
      </c>
      <c r="X29" s="10">
        <f t="shared" si="29"/>
        <v>0.8</v>
      </c>
      <c r="Z29" s="14">
        <f t="shared" si="7"/>
        <v>220</v>
      </c>
      <c r="AA29" s="14">
        <f t="shared" si="8"/>
        <v>183</v>
      </c>
      <c r="AB29" s="14">
        <f t="shared" si="9"/>
        <v>138</v>
      </c>
      <c r="AC29" s="14">
        <f t="shared" si="10"/>
        <v>184</v>
      </c>
    </row>
    <row r="30" spans="1:29" x14ac:dyDescent="0.25">
      <c r="A30" s="8">
        <v>2020</v>
      </c>
      <c r="B30" s="10">
        <f t="shared" si="6"/>
        <v>30</v>
      </c>
      <c r="C30" s="10">
        <f t="shared" si="11"/>
        <v>117</v>
      </c>
      <c r="D30" s="10">
        <f t="shared" si="12"/>
        <v>53</v>
      </c>
      <c r="E30" s="10">
        <f t="shared" si="13"/>
        <v>57</v>
      </c>
      <c r="F30" s="10">
        <f t="shared" si="14"/>
        <v>72</v>
      </c>
      <c r="G30" s="10">
        <f t="shared" si="15"/>
        <v>74</v>
      </c>
      <c r="H30" s="10">
        <f t="shared" si="16"/>
        <v>403</v>
      </c>
      <c r="I30" s="10">
        <f t="shared" si="4"/>
        <v>28</v>
      </c>
      <c r="J30" s="10">
        <f t="shared" si="17"/>
        <v>103</v>
      </c>
      <c r="K30" s="10">
        <f t="shared" si="18"/>
        <v>50</v>
      </c>
      <c r="L30" s="10">
        <f t="shared" si="19"/>
        <v>57</v>
      </c>
      <c r="M30" s="10">
        <f t="shared" si="20"/>
        <v>51</v>
      </c>
      <c r="N30" s="10">
        <f t="shared" si="21"/>
        <v>53</v>
      </c>
      <c r="O30" s="10">
        <f t="shared" si="22"/>
        <v>88</v>
      </c>
      <c r="P30" s="10">
        <f t="shared" si="23"/>
        <v>88</v>
      </c>
      <c r="Q30" s="10">
        <f t="shared" si="5"/>
        <v>73</v>
      </c>
      <c r="R30" s="10">
        <f t="shared" si="24"/>
        <v>141</v>
      </c>
      <c r="S30" s="10">
        <f t="shared" si="25"/>
        <v>48</v>
      </c>
      <c r="T30" s="10">
        <f t="shared" si="26"/>
        <v>53</v>
      </c>
      <c r="U30" s="10">
        <f t="shared" si="27"/>
        <v>63</v>
      </c>
      <c r="V30" s="10">
        <f t="shared" si="27"/>
        <v>63</v>
      </c>
      <c r="W30" s="10">
        <f t="shared" si="28"/>
        <v>441</v>
      </c>
      <c r="X30" s="10">
        <f t="shared" si="29"/>
        <v>0.8</v>
      </c>
      <c r="Z30" s="14">
        <f t="shared" si="7"/>
        <v>176</v>
      </c>
      <c r="AA30" s="14">
        <f t="shared" si="8"/>
        <v>146</v>
      </c>
      <c r="AB30" s="14">
        <f t="shared" si="9"/>
        <v>110</v>
      </c>
      <c r="AC30" s="14">
        <f t="shared" si="10"/>
        <v>147</v>
      </c>
    </row>
    <row r="31" spans="1:29" x14ac:dyDescent="0.25">
      <c r="A31" s="8">
        <v>2021</v>
      </c>
      <c r="B31" s="10">
        <f t="shared" si="6"/>
        <v>24</v>
      </c>
      <c r="C31" s="10">
        <f t="shared" si="11"/>
        <v>93</v>
      </c>
      <c r="D31" s="10">
        <f t="shared" si="12"/>
        <v>42</v>
      </c>
      <c r="E31" s="10">
        <f t="shared" si="13"/>
        <v>46</v>
      </c>
      <c r="F31" s="10">
        <f t="shared" si="14"/>
        <v>58</v>
      </c>
      <c r="G31" s="10">
        <f t="shared" si="15"/>
        <v>60</v>
      </c>
      <c r="H31" s="10">
        <f t="shared" si="16"/>
        <v>323</v>
      </c>
      <c r="I31" s="10">
        <f t="shared" si="4"/>
        <v>23</v>
      </c>
      <c r="J31" s="10">
        <f t="shared" si="17"/>
        <v>82</v>
      </c>
      <c r="K31" s="10">
        <f t="shared" si="18"/>
        <v>40</v>
      </c>
      <c r="L31" s="10">
        <f t="shared" si="19"/>
        <v>46</v>
      </c>
      <c r="M31" s="10">
        <f t="shared" si="20"/>
        <v>41</v>
      </c>
      <c r="N31" s="10">
        <f t="shared" si="21"/>
        <v>43</v>
      </c>
      <c r="O31" s="10">
        <f t="shared" si="22"/>
        <v>70</v>
      </c>
      <c r="P31" s="10">
        <f t="shared" si="23"/>
        <v>70</v>
      </c>
      <c r="Q31" s="10">
        <f t="shared" si="5"/>
        <v>59</v>
      </c>
      <c r="R31" s="10">
        <f t="shared" si="24"/>
        <v>113</v>
      </c>
      <c r="S31" s="10">
        <f t="shared" si="25"/>
        <v>39</v>
      </c>
      <c r="T31" s="10">
        <f t="shared" si="26"/>
        <v>43</v>
      </c>
      <c r="U31" s="10">
        <f t="shared" si="27"/>
        <v>50</v>
      </c>
      <c r="V31" s="10">
        <f t="shared" si="27"/>
        <v>50</v>
      </c>
      <c r="W31" s="10">
        <f t="shared" si="28"/>
        <v>354</v>
      </c>
      <c r="X31" s="10">
        <f t="shared" si="29"/>
        <v>0.8</v>
      </c>
      <c r="Z31" s="14">
        <f t="shared" si="7"/>
        <v>140</v>
      </c>
      <c r="AA31" s="14">
        <f t="shared" si="8"/>
        <v>118</v>
      </c>
      <c r="AB31" s="14">
        <f t="shared" si="9"/>
        <v>88</v>
      </c>
      <c r="AC31" s="14">
        <f t="shared" si="10"/>
        <v>117</v>
      </c>
    </row>
    <row r="32" spans="1:29" x14ac:dyDescent="0.25">
      <c r="A32" s="8">
        <v>2022</v>
      </c>
      <c r="B32" s="10">
        <f t="shared" si="6"/>
        <v>19</v>
      </c>
      <c r="C32" s="10">
        <f t="shared" si="11"/>
        <v>75</v>
      </c>
      <c r="D32" s="10">
        <f t="shared" si="12"/>
        <v>34</v>
      </c>
      <c r="E32" s="10">
        <f t="shared" si="13"/>
        <v>37</v>
      </c>
      <c r="F32" s="10">
        <f t="shared" si="14"/>
        <v>46</v>
      </c>
      <c r="G32" s="10">
        <f t="shared" si="15"/>
        <v>48</v>
      </c>
      <c r="H32" s="10">
        <f t="shared" si="16"/>
        <v>259</v>
      </c>
      <c r="I32" s="10">
        <f t="shared" si="4"/>
        <v>18</v>
      </c>
      <c r="J32" s="10">
        <f t="shared" si="17"/>
        <v>66</v>
      </c>
      <c r="K32" s="10">
        <f t="shared" si="18"/>
        <v>32</v>
      </c>
      <c r="L32" s="10">
        <f t="shared" si="19"/>
        <v>37</v>
      </c>
      <c r="M32" s="10">
        <f t="shared" si="20"/>
        <v>33</v>
      </c>
      <c r="N32" s="10">
        <f t="shared" si="21"/>
        <v>34</v>
      </c>
      <c r="O32" s="10">
        <f t="shared" si="22"/>
        <v>57</v>
      </c>
      <c r="P32" s="10">
        <f t="shared" si="23"/>
        <v>57</v>
      </c>
      <c r="Q32" s="10">
        <f t="shared" si="5"/>
        <v>47</v>
      </c>
      <c r="R32" s="10">
        <f t="shared" si="24"/>
        <v>91</v>
      </c>
      <c r="S32" s="10">
        <f t="shared" si="25"/>
        <v>31</v>
      </c>
      <c r="T32" s="10">
        <f t="shared" si="26"/>
        <v>34</v>
      </c>
      <c r="U32" s="10">
        <f t="shared" si="27"/>
        <v>41</v>
      </c>
      <c r="V32" s="10">
        <f t="shared" si="27"/>
        <v>41</v>
      </c>
      <c r="W32" s="10">
        <f t="shared" si="28"/>
        <v>285</v>
      </c>
      <c r="X32" s="10">
        <f t="shared" si="29"/>
        <v>0.81</v>
      </c>
      <c r="Z32" s="14">
        <f t="shared" si="7"/>
        <v>114</v>
      </c>
      <c r="AA32" s="14">
        <f t="shared" si="8"/>
        <v>94</v>
      </c>
      <c r="AB32" s="14">
        <f t="shared" si="9"/>
        <v>71</v>
      </c>
      <c r="AC32" s="14">
        <f t="shared" si="10"/>
        <v>94</v>
      </c>
    </row>
    <row r="33" spans="1:29" x14ac:dyDescent="0.25">
      <c r="A33" s="8">
        <v>2023</v>
      </c>
      <c r="B33" s="10">
        <f t="shared" ref="B33:B34" si="30">ROUND((Q32-(Q32*$P$3)),0)</f>
        <v>16</v>
      </c>
      <c r="C33" s="10">
        <f t="shared" ref="C33:C34" si="31">ROUND((R32-(R32*$P$4)),0)</f>
        <v>60</v>
      </c>
      <c r="D33" s="10">
        <f t="shared" ref="D33:D34" si="32">ROUND((S32-(S32*$P$5)),0)</f>
        <v>27</v>
      </c>
      <c r="E33" s="10">
        <f t="shared" ref="E33:E34" si="33">ROUND((T32-(T32*$P$6)),0)</f>
        <v>30</v>
      </c>
      <c r="F33" s="10">
        <f t="shared" ref="F33:F34" si="34">ROUND((U32-(U32*$P$7)),0)</f>
        <v>38</v>
      </c>
      <c r="G33" s="10">
        <f t="shared" ref="G33:G34" si="35">ROUND((V32-(V32*$P$8)),0)</f>
        <v>39</v>
      </c>
      <c r="H33" s="10">
        <f t="shared" ref="H33:H34" si="36">(B33+C33+D33+E33+F33+G33)</f>
        <v>210</v>
      </c>
      <c r="I33" s="10">
        <f t="shared" ref="I33:I34" si="37">ROUND((B33-(B33*$M$3)),0)</f>
        <v>15</v>
      </c>
      <c r="J33" s="10">
        <f t="shared" ref="J33:J34" si="38">ROUND((C33-(C33*$M$4)),0)</f>
        <v>53</v>
      </c>
      <c r="K33" s="10">
        <f t="shared" ref="K33:K34" si="39">ROUND((D33-(D33*$M$5)),0)</f>
        <v>25</v>
      </c>
      <c r="L33" s="10">
        <f t="shared" ref="L33:L34" si="40">ROUND((E33-(E33*$M$6)),0)</f>
        <v>30</v>
      </c>
      <c r="M33" s="10">
        <f t="shared" ref="M33:M34" si="41">ROUND((F33-(F33*$M$7)),0)</f>
        <v>27</v>
      </c>
      <c r="N33" s="10">
        <f t="shared" ref="N33:N34" si="42">ROUND((G33-(G33*$M$8)),0)</f>
        <v>28</v>
      </c>
      <c r="O33" s="10">
        <f t="shared" ref="O33:O34" si="43">ROUND((((J33*$B$8) + (L33*$B$9))/2),0)</f>
        <v>45</v>
      </c>
      <c r="P33" s="10">
        <f t="shared" ref="P33:P34" si="44">O33</f>
        <v>45</v>
      </c>
      <c r="Q33" s="10">
        <f t="shared" ref="Q33:Q34" si="45">ROUND(((I33+K33) - ((I33+K33)*$M$3)),0)</f>
        <v>38</v>
      </c>
      <c r="R33" s="10">
        <f t="shared" ref="R33:R34" si="46">ROUND(((J33+L33) - ((J33+L33)*$M$4)),0)</f>
        <v>73</v>
      </c>
      <c r="S33" s="10">
        <f t="shared" ref="S33:S34" si="47">ROUND((M33-(M33*$M$5)),0)</f>
        <v>25</v>
      </c>
      <c r="T33" s="10">
        <f t="shared" ref="T33:T34" si="48">ROUND((N33-(N33*$M$6)),0)</f>
        <v>28</v>
      </c>
      <c r="U33" s="10">
        <f t="shared" ref="U33:U34" si="49">ROUND((O33-(O33*$M$9)),0)</f>
        <v>32</v>
      </c>
      <c r="V33" s="10">
        <f t="shared" ref="V33:V34" si="50">ROUND((P33-(P33*$M$9)),0)</f>
        <v>32</v>
      </c>
      <c r="W33" s="10">
        <f t="shared" ref="W33:W34" si="51">Q33+R33+S33+T33+U33+V33</f>
        <v>228</v>
      </c>
      <c r="X33" s="10">
        <f t="shared" ref="X33:X34" si="52">ROUND((W33/W32),2)</f>
        <v>0.8</v>
      </c>
      <c r="Z33" s="14">
        <f t="shared" ref="Z33:Z34" si="53">SUM(O33,P33)</f>
        <v>90</v>
      </c>
      <c r="AA33" s="14">
        <f t="shared" ref="AA33:AA34" si="54">SUM(F33,G33)</f>
        <v>77</v>
      </c>
      <c r="AB33" s="14">
        <f t="shared" ref="AB33:AB34" si="55">SUM(D33,E33)</f>
        <v>57</v>
      </c>
      <c r="AC33" s="14">
        <f t="shared" ref="AC33:AC34" si="56">SUM(B33,C33)</f>
        <v>76</v>
      </c>
    </row>
    <row r="34" spans="1:29" x14ac:dyDescent="0.25">
      <c r="A34" s="8">
        <v>2024</v>
      </c>
      <c r="B34" s="10">
        <f t="shared" si="30"/>
        <v>13</v>
      </c>
      <c r="C34" s="10">
        <f t="shared" si="31"/>
        <v>48</v>
      </c>
      <c r="D34" s="10">
        <f t="shared" si="32"/>
        <v>22</v>
      </c>
      <c r="E34" s="10">
        <f t="shared" si="33"/>
        <v>24</v>
      </c>
      <c r="F34" s="10">
        <f t="shared" si="34"/>
        <v>29</v>
      </c>
      <c r="G34" s="10">
        <f t="shared" si="35"/>
        <v>30</v>
      </c>
      <c r="H34" s="10">
        <f t="shared" si="36"/>
        <v>166</v>
      </c>
      <c r="I34" s="10">
        <f t="shared" si="37"/>
        <v>12</v>
      </c>
      <c r="J34" s="10">
        <f t="shared" si="38"/>
        <v>42</v>
      </c>
      <c r="K34" s="10">
        <f t="shared" si="39"/>
        <v>21</v>
      </c>
      <c r="L34" s="10">
        <f t="shared" si="40"/>
        <v>24</v>
      </c>
      <c r="M34" s="10">
        <f t="shared" si="41"/>
        <v>21</v>
      </c>
      <c r="N34" s="10">
        <f t="shared" si="42"/>
        <v>21</v>
      </c>
      <c r="O34" s="10">
        <f t="shared" si="43"/>
        <v>36</v>
      </c>
      <c r="P34" s="10">
        <f t="shared" si="44"/>
        <v>36</v>
      </c>
      <c r="Q34" s="10">
        <f t="shared" si="45"/>
        <v>31</v>
      </c>
      <c r="R34" s="10">
        <f t="shared" si="46"/>
        <v>58</v>
      </c>
      <c r="S34" s="10">
        <f t="shared" si="47"/>
        <v>20</v>
      </c>
      <c r="T34" s="10">
        <f t="shared" si="48"/>
        <v>21</v>
      </c>
      <c r="U34" s="10">
        <f t="shared" si="49"/>
        <v>26</v>
      </c>
      <c r="V34" s="10">
        <f t="shared" si="50"/>
        <v>26</v>
      </c>
      <c r="W34" s="10">
        <f t="shared" si="51"/>
        <v>182</v>
      </c>
      <c r="X34" s="10">
        <f t="shared" si="52"/>
        <v>0.8</v>
      </c>
      <c r="Z34" s="14">
        <f t="shared" si="53"/>
        <v>72</v>
      </c>
      <c r="AA34" s="14">
        <f t="shared" si="54"/>
        <v>59</v>
      </c>
      <c r="AB34" s="14">
        <f t="shared" si="55"/>
        <v>46</v>
      </c>
      <c r="AC34" s="14">
        <f t="shared" si="56"/>
        <v>61</v>
      </c>
    </row>
    <row r="59" spans="1:3" x14ac:dyDescent="0.25">
      <c r="A59" s="1" t="s">
        <v>56</v>
      </c>
      <c r="B59" s="1" t="s">
        <v>63</v>
      </c>
      <c r="C59" s="1" t="s">
        <v>62</v>
      </c>
    </row>
    <row r="60" spans="1:3" x14ac:dyDescent="0.25">
      <c r="A60" s="1" t="s">
        <v>55</v>
      </c>
      <c r="B60" s="1">
        <f>B61/(B62*B63)*(1+B64+(B64*B65))</f>
        <v>22770.265534767535</v>
      </c>
      <c r="C60" s="11" t="s">
        <v>65</v>
      </c>
    </row>
    <row r="61" spans="1:3" x14ac:dyDescent="0.25">
      <c r="A61" s="1" t="s">
        <v>57</v>
      </c>
      <c r="B61" s="1">
        <f>O3</f>
        <v>2762.9850746268658</v>
      </c>
      <c r="C61" s="1" t="s">
        <v>64</v>
      </c>
    </row>
    <row r="62" spans="1:3" x14ac:dyDescent="0.25">
      <c r="A62" s="1" t="s">
        <v>58</v>
      </c>
      <c r="B62" s="1">
        <f>1-0.39</f>
        <v>0.61</v>
      </c>
      <c r="C62" s="11" t="s">
        <v>67</v>
      </c>
    </row>
    <row r="63" spans="1:3" x14ac:dyDescent="0.25">
      <c r="A63" s="1" t="s">
        <v>59</v>
      </c>
      <c r="B63" s="1">
        <f>0.381/(0.381+0.331+0.133)</f>
        <v>0.45088757396449708</v>
      </c>
      <c r="C63" s="11" t="s">
        <v>67</v>
      </c>
    </row>
    <row r="64" spans="1:3" x14ac:dyDescent="0.25">
      <c r="A64" s="1" t="s">
        <v>60</v>
      </c>
      <c r="B64" s="1">
        <f>B4</f>
        <v>0.6</v>
      </c>
      <c r="C64" s="1" t="s">
        <v>66</v>
      </c>
    </row>
    <row r="65" spans="1:3" x14ac:dyDescent="0.25">
      <c r="A65" s="1" t="s">
        <v>61</v>
      </c>
      <c r="B65" s="1">
        <f>0.3/B66</f>
        <v>1.1111111111111109</v>
      </c>
    </row>
    <row r="66" spans="1:3" x14ac:dyDescent="0.25">
      <c r="B66" s="1">
        <f>B5*B4</f>
        <v>0.27</v>
      </c>
      <c r="C66" s="1" t="s">
        <v>68</v>
      </c>
    </row>
  </sheetData>
  <hyperlinks>
    <hyperlink ref="C60" r:id="rId1" xr:uid="{CDAE14AD-C502-45C2-9904-56A37271D372}"/>
    <hyperlink ref="C62" r:id="rId2" xr:uid="{41E5C949-C90D-4750-9BD2-AF3D79CDB1DA}"/>
    <hyperlink ref="C63" r:id="rId3" xr:uid="{8A90BC64-9CED-4A76-B3B2-829BC9302489}"/>
  </hyperlinks>
  <pageMargins left="0.7" right="0.7" top="0.75" bottom="0.75" header="0.3" footer="0.3"/>
  <pageSetup orientation="portrait" r:id="rId4"/>
  <drawing r:id="rId5"/>
  <legacy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0377B-7F41-41A4-98DD-676586E57DAF}">
  <dimension ref="A1:AE66"/>
  <sheetViews>
    <sheetView zoomScale="90" zoomScaleNormal="90" workbookViewId="0">
      <selection activeCell="Q6" sqref="Q6"/>
    </sheetView>
  </sheetViews>
  <sheetFormatPr defaultColWidth="9.140625" defaultRowHeight="15" x14ac:dyDescent="0.25"/>
  <cols>
    <col min="1" max="1" width="35.85546875" style="1" customWidth="1"/>
    <col min="2" max="2" width="15.85546875" style="1" customWidth="1"/>
    <col min="3" max="3" width="18.85546875" style="1" customWidth="1"/>
    <col min="4" max="4" width="20.42578125" style="1" customWidth="1"/>
    <col min="5" max="5" width="15.85546875" style="1" customWidth="1"/>
    <col min="6" max="6" width="18.5703125" style="1" customWidth="1"/>
    <col min="7" max="7" width="19" style="1" customWidth="1"/>
    <col min="8" max="8" width="13" style="1" customWidth="1"/>
    <col min="9" max="9" width="14" style="1" customWidth="1"/>
    <col min="10" max="10" width="15.42578125" style="1" customWidth="1"/>
    <col min="11" max="11" width="12.85546875" style="1" customWidth="1"/>
    <col min="12" max="12" width="15.140625" style="1" customWidth="1"/>
    <col min="13" max="13" width="16.5703125" style="1" customWidth="1"/>
    <col min="14" max="14" width="17.5703125" style="1" customWidth="1"/>
    <col min="15" max="15" width="15.85546875" style="1" customWidth="1"/>
    <col min="16" max="16" width="15.5703125" style="1" customWidth="1"/>
    <col min="17" max="17" width="17.7109375" style="1" customWidth="1"/>
    <col min="18" max="18" width="16.7109375" style="1" customWidth="1"/>
    <col min="19" max="19" width="17" style="1" customWidth="1"/>
    <col min="20" max="20" width="14.7109375" style="1" customWidth="1"/>
    <col min="21" max="21" width="17.85546875" style="1" customWidth="1"/>
    <col min="22" max="16384" width="9.140625" style="1"/>
  </cols>
  <sheetData>
    <row r="1" spans="1:31" x14ac:dyDescent="0.25">
      <c r="A1" s="1" t="s">
        <v>53</v>
      </c>
      <c r="B1" s="1" t="s">
        <v>54</v>
      </c>
      <c r="C1" s="1">
        <v>1730</v>
      </c>
      <c r="D1" s="1" t="s">
        <v>77</v>
      </c>
    </row>
    <row r="2" spans="1:31" x14ac:dyDescent="0.25">
      <c r="A2" s="1" t="s">
        <v>52</v>
      </c>
      <c r="B2" s="1">
        <v>2024</v>
      </c>
      <c r="C2" s="15">
        <f>B3/C1</f>
        <v>8.470888078249196</v>
      </c>
      <c r="D2" s="1" t="s">
        <v>78</v>
      </c>
      <c r="E2" s="15">
        <f>H13/C1</f>
        <v>6.6346820809248559</v>
      </c>
      <c r="F2" s="1" t="s">
        <v>79</v>
      </c>
      <c r="K2" s="1" t="s">
        <v>0</v>
      </c>
      <c r="L2" s="1" t="s">
        <v>1</v>
      </c>
      <c r="M2" s="1" t="s">
        <v>2</v>
      </c>
      <c r="O2" s="1" t="s">
        <v>3</v>
      </c>
      <c r="P2" s="1" t="s">
        <v>4</v>
      </c>
      <c r="Q2" s="1" t="s">
        <v>72</v>
      </c>
      <c r="S2" s="15" t="s">
        <v>80</v>
      </c>
    </row>
    <row r="3" spans="1:31" x14ac:dyDescent="0.25">
      <c r="A3" s="2" t="s">
        <v>5</v>
      </c>
      <c r="B3" s="12">
        <f>B60</f>
        <v>14654.63637537111</v>
      </c>
      <c r="I3" s="1">
        <v>0.115</v>
      </c>
      <c r="J3" s="2" t="s">
        <v>6</v>
      </c>
      <c r="K3" s="3">
        <v>0.115</v>
      </c>
      <c r="L3" s="4">
        <f>LN(1-K3)</f>
        <v>-0.12216763397420753</v>
      </c>
      <c r="M3" s="4">
        <f>1-EXP(L3*0.5)</f>
        <v>5.9255613888661074E-2</v>
      </c>
      <c r="O3" s="3">
        <f>Q3-O5</f>
        <v>1778.22</v>
      </c>
      <c r="P3" s="4">
        <f>ROUND((O3/F5),2)</f>
        <v>0.67</v>
      </c>
      <c r="Q3" s="1">
        <v>1998</v>
      </c>
      <c r="R3" s="1">
        <f>Q3+Q4</f>
        <v>3179</v>
      </c>
      <c r="S3" s="16">
        <f>B3*67</f>
        <v>981860.63714986434</v>
      </c>
      <c r="T3" s="1" t="s">
        <v>81</v>
      </c>
    </row>
    <row r="4" spans="1:31" x14ac:dyDescent="0.25">
      <c r="A4" s="2" t="s">
        <v>7</v>
      </c>
      <c r="B4" s="13">
        <v>0.6</v>
      </c>
      <c r="C4" s="1" t="s">
        <v>8</v>
      </c>
      <c r="F4" s="1" t="s">
        <v>9</v>
      </c>
      <c r="G4" s="1" t="s">
        <v>10</v>
      </c>
      <c r="I4" s="1">
        <v>0.125</v>
      </c>
      <c r="J4" s="2" t="s">
        <v>11</v>
      </c>
      <c r="K4" s="3">
        <v>0.125</v>
      </c>
      <c r="L4" s="4">
        <f t="shared" ref="L4:L9" si="0">LN(1-K4)</f>
        <v>-0.13353139262452263</v>
      </c>
      <c r="M4" s="4">
        <f t="shared" ref="M4:M9" si="1">1-EXP(L4*0.5)</f>
        <v>6.4585653306514668E-2</v>
      </c>
      <c r="O4" s="3">
        <f>(Q4-(O6+O7+O8))</f>
        <v>826.7</v>
      </c>
      <c r="P4" s="4">
        <f>ROUND((O4/G5),2)</f>
        <v>0.21</v>
      </c>
      <c r="Q4" s="1">
        <v>1181</v>
      </c>
      <c r="S4" s="16">
        <f>H13*67</f>
        <v>769026</v>
      </c>
      <c r="T4" s="1" t="s">
        <v>82</v>
      </c>
    </row>
    <row r="5" spans="1:31" x14ac:dyDescent="0.25">
      <c r="A5" s="2" t="s">
        <v>12</v>
      </c>
      <c r="B5" s="13">
        <v>0.45</v>
      </c>
      <c r="D5" s="5" t="s">
        <v>13</v>
      </c>
      <c r="E5" s="4">
        <f>ROUND((B3*B5),0)</f>
        <v>6595</v>
      </c>
      <c r="F5" s="4">
        <f>ROUND(E5*(1-$B$4),0)</f>
        <v>2638</v>
      </c>
      <c r="G5" s="4">
        <f>ROUND((E5*$B$4),0)</f>
        <v>3957</v>
      </c>
      <c r="I5" s="1">
        <v>0.115</v>
      </c>
      <c r="J5" s="2" t="s">
        <v>14</v>
      </c>
      <c r="K5" s="3">
        <v>0.115</v>
      </c>
      <c r="L5" s="4">
        <f t="shared" si="0"/>
        <v>-0.12216763397420753</v>
      </c>
      <c r="M5" s="4">
        <f t="shared" si="1"/>
        <v>5.9255613888661074E-2</v>
      </c>
      <c r="O5" s="3">
        <f>(Q3*0.11)</f>
        <v>219.78</v>
      </c>
      <c r="P5" s="4">
        <f>ROUND((O5/F6),2)</f>
        <v>0.13</v>
      </c>
      <c r="Q5" s="1" t="s">
        <v>69</v>
      </c>
    </row>
    <row r="6" spans="1:31" x14ac:dyDescent="0.25">
      <c r="A6" s="2" t="s">
        <v>15</v>
      </c>
      <c r="B6" s="13">
        <v>0.3</v>
      </c>
      <c r="D6" s="5" t="s">
        <v>16</v>
      </c>
      <c r="E6" s="4">
        <f>ROUND((B3*B6),0)</f>
        <v>4396</v>
      </c>
      <c r="F6" s="4">
        <f t="shared" ref="F6:F7" si="2">ROUND(E6*(1-$B$4),0)</f>
        <v>1758</v>
      </c>
      <c r="G6" s="4">
        <f t="shared" ref="G6:G7" si="3">ROUND((E6*$B$4),0)</f>
        <v>2638</v>
      </c>
      <c r="I6" s="1">
        <v>0</v>
      </c>
      <c r="J6" s="2" t="s">
        <v>17</v>
      </c>
      <c r="K6" s="3">
        <v>0.155</v>
      </c>
      <c r="L6" s="4">
        <f t="shared" si="0"/>
        <v>-0.16841865162496325</v>
      </c>
      <c r="M6" s="4">
        <f t="shared" si="1"/>
        <v>8.0761184457488255E-2</v>
      </c>
      <c r="O6" s="3">
        <f>(Q4*0.18)</f>
        <v>212.57999999999998</v>
      </c>
      <c r="P6" s="4">
        <f>ROUND((O6/G6),2)</f>
        <v>0.08</v>
      </c>
      <c r="Q6" s="1" t="s">
        <v>70</v>
      </c>
    </row>
    <row r="7" spans="1:31" x14ac:dyDescent="0.25">
      <c r="A7" s="6" t="s">
        <v>18</v>
      </c>
      <c r="B7" s="7">
        <f>(1 - (B5 + B6))</f>
        <v>0.25</v>
      </c>
      <c r="D7" s="5" t="s">
        <v>19</v>
      </c>
      <c r="E7" s="4">
        <f>ROUND((B3*B7),0)</f>
        <v>3664</v>
      </c>
      <c r="F7" s="4">
        <f t="shared" si="2"/>
        <v>1466</v>
      </c>
      <c r="G7" s="4">
        <f t="shared" si="3"/>
        <v>2198</v>
      </c>
      <c r="I7" s="1">
        <v>0.49</v>
      </c>
      <c r="J7" s="2" t="s">
        <v>20</v>
      </c>
      <c r="K7" s="3">
        <v>0.49</v>
      </c>
      <c r="L7" s="4">
        <f t="shared" si="0"/>
        <v>-0.67334455326376563</v>
      </c>
      <c r="M7" s="4">
        <f t="shared" si="1"/>
        <v>0.28585715714571502</v>
      </c>
      <c r="O7" s="3">
        <f>(Q4*0.12)/2</f>
        <v>70.86</v>
      </c>
      <c r="P7" s="4">
        <f>ROUND((O7/F7),2)</f>
        <v>0.05</v>
      </c>
      <c r="Q7" s="1" t="s">
        <v>71</v>
      </c>
    </row>
    <row r="8" spans="1:31" x14ac:dyDescent="0.25">
      <c r="A8" s="2" t="s">
        <v>21</v>
      </c>
      <c r="B8" s="3">
        <v>1.6</v>
      </c>
      <c r="C8" s="1" t="s">
        <v>22</v>
      </c>
      <c r="I8" s="1">
        <v>0.42499999999999999</v>
      </c>
      <c r="J8" s="2" t="s">
        <v>23</v>
      </c>
      <c r="K8" s="3">
        <v>0.25</v>
      </c>
      <c r="L8" s="4">
        <f t="shared" si="0"/>
        <v>-0.2876820724517809</v>
      </c>
      <c r="M8" s="4">
        <f t="shared" si="1"/>
        <v>0.13397459621556129</v>
      </c>
      <c r="O8" s="3">
        <f>(Q4*0.12)/2</f>
        <v>70.86</v>
      </c>
      <c r="P8" s="4">
        <f>ROUND((O8/G7),2)</f>
        <v>0.03</v>
      </c>
    </row>
    <row r="9" spans="1:31" x14ac:dyDescent="0.25">
      <c r="A9" s="2" t="s">
        <v>24</v>
      </c>
      <c r="B9" s="3">
        <v>0.2</v>
      </c>
      <c r="C9" s="1" t="s">
        <v>25</v>
      </c>
      <c r="J9" s="2" t="s">
        <v>26</v>
      </c>
      <c r="K9" s="3">
        <v>0.4</v>
      </c>
      <c r="L9" s="4">
        <f t="shared" si="0"/>
        <v>-0.51082562376599072</v>
      </c>
      <c r="M9" s="4">
        <f t="shared" si="1"/>
        <v>0.2254033307585166</v>
      </c>
      <c r="O9" s="1">
        <v>0</v>
      </c>
    </row>
    <row r="12" spans="1:31" customFormat="1" x14ac:dyDescent="0.25">
      <c r="A12" t="s">
        <v>27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 t="s">
        <v>33</v>
      </c>
      <c r="H12" t="s">
        <v>34</v>
      </c>
      <c r="I12" t="s">
        <v>35</v>
      </c>
      <c r="J12" t="s">
        <v>36</v>
      </c>
      <c r="K12" t="s">
        <v>37</v>
      </c>
      <c r="L12" t="s">
        <v>38</v>
      </c>
      <c r="M12" t="s">
        <v>39</v>
      </c>
      <c r="N12" t="s">
        <v>40</v>
      </c>
      <c r="O12" t="s">
        <v>41</v>
      </c>
      <c r="P12" t="s">
        <v>42</v>
      </c>
      <c r="Q12" t="s">
        <v>43</v>
      </c>
      <c r="R12" t="s">
        <v>44</v>
      </c>
      <c r="S12" t="s">
        <v>45</v>
      </c>
      <c r="T12" t="s">
        <v>46</v>
      </c>
      <c r="U12" t="s">
        <v>47</v>
      </c>
      <c r="V12" t="s">
        <v>48</v>
      </c>
      <c r="W12" t="s">
        <v>49</v>
      </c>
      <c r="X12" t="s">
        <v>50</v>
      </c>
      <c r="Z12" t="s">
        <v>75</v>
      </c>
      <c r="AA12" t="s">
        <v>73</v>
      </c>
      <c r="AB12" t="s">
        <v>74</v>
      </c>
      <c r="AC12" t="s">
        <v>76</v>
      </c>
      <c r="AE12" t="s">
        <v>87</v>
      </c>
    </row>
    <row r="13" spans="1:31" customFormat="1" x14ac:dyDescent="0.25">
      <c r="A13" s="8">
        <v>2024</v>
      </c>
      <c r="B13" s="8">
        <f>ROUND((F5 -(F5*P3)),0)</f>
        <v>871</v>
      </c>
      <c r="C13" s="8">
        <f>ROUND((G5 - (G5*P4)),0)</f>
        <v>3126</v>
      </c>
      <c r="D13" s="8">
        <f>ROUND((F6 - (F6*P5)),0)</f>
        <v>1529</v>
      </c>
      <c r="E13" s="8">
        <f>ROUND((G6-(G6*P6)),0)</f>
        <v>2427</v>
      </c>
      <c r="F13" s="8">
        <f>ROUND((F7 - (F7*P7)),0)</f>
        <v>1393</v>
      </c>
      <c r="G13" s="8">
        <f>ROUND((G7 - (G7*P8)),0)</f>
        <v>2132</v>
      </c>
      <c r="H13" s="8">
        <f>(B13+C13+D13+E13+F13+G13)</f>
        <v>11478</v>
      </c>
      <c r="I13" s="8">
        <f t="shared" ref="I13:I32" si="4">ROUND((B13-(B13*$M$3)),0)</f>
        <v>819</v>
      </c>
      <c r="J13" s="8">
        <f>ROUND((C13-(C13*$M$4)),0)</f>
        <v>2924</v>
      </c>
      <c r="K13" s="8">
        <f>ROUND((D13-(D13*$M$5)),0)</f>
        <v>1438</v>
      </c>
      <c r="L13" s="8">
        <f>ROUND((E13-(E13*$M$6)),0)</f>
        <v>2231</v>
      </c>
      <c r="M13" s="8">
        <f>ROUND((F13-(F13*$M$7)),0)</f>
        <v>995</v>
      </c>
      <c r="N13" s="8">
        <f>ROUND((G13-(G13*$M$8)),0)</f>
        <v>1846</v>
      </c>
      <c r="O13" s="8">
        <f>ROUND((((J13*$B$8) + (L13*$B$9))/2),0)</f>
        <v>2562</v>
      </c>
      <c r="P13" s="8">
        <f>O13</f>
        <v>2562</v>
      </c>
      <c r="Q13" s="8">
        <f t="shared" ref="Q13:Q32" si="5">ROUND(((I13+K13) - ((I13+K13)*$M$3)),0)</f>
        <v>2123</v>
      </c>
      <c r="R13" s="8">
        <f>ROUND(((J13+L13) - ((J13+L13)*$M$4)),0)</f>
        <v>4822</v>
      </c>
      <c r="S13" s="8">
        <f>ROUND((M13-(M13*$M$5)),0)</f>
        <v>936</v>
      </c>
      <c r="T13" s="8">
        <f>ROUND((N13-(N13*$M$6)),0)</f>
        <v>1697</v>
      </c>
      <c r="U13" s="8">
        <f>ROUND((O13-(O13*$M$9)),0)</f>
        <v>1985</v>
      </c>
      <c r="V13" s="8">
        <f>ROUND((P13-(P13*$M$9)),0)</f>
        <v>1985</v>
      </c>
      <c r="W13" s="8">
        <f>Q13+R13+S13+T13+U13+V13</f>
        <v>13548</v>
      </c>
      <c r="X13" s="8" t="s">
        <v>51</v>
      </c>
      <c r="Z13" s="14">
        <f>SUM(O13,P13)</f>
        <v>5124</v>
      </c>
      <c r="AA13" s="14">
        <f>SUM(F13,G13)</f>
        <v>3525</v>
      </c>
      <c r="AB13" s="14">
        <f>SUM(D13,E13)</f>
        <v>3956</v>
      </c>
      <c r="AC13" s="14">
        <f>SUM(B13,C13)</f>
        <v>3997</v>
      </c>
      <c r="AE13">
        <f>W13-H13</f>
        <v>2070</v>
      </c>
    </row>
    <row r="14" spans="1:31" customFormat="1" x14ac:dyDescent="0.25">
      <c r="A14" s="8">
        <v>2025</v>
      </c>
      <c r="B14" s="9">
        <f t="shared" ref="B14:B32" si="6">ROUND((Q13-(Q13*$P$3)),0)</f>
        <v>701</v>
      </c>
      <c r="C14" s="9">
        <f>ROUND((R13-(R13*$P$4)),0)</f>
        <v>3809</v>
      </c>
      <c r="D14" s="9">
        <f>ROUND((S13-(S13*$P$5)),0)</f>
        <v>814</v>
      </c>
      <c r="E14" s="9">
        <f>ROUND((T13-(T13*$P$6)),0)</f>
        <v>1561</v>
      </c>
      <c r="F14" s="9">
        <f>ROUND((U13-(U13*$P$7)),0)</f>
        <v>1886</v>
      </c>
      <c r="G14" s="9">
        <f>ROUND((V13-(V13*$P$8)),0)</f>
        <v>1925</v>
      </c>
      <c r="H14" s="9">
        <f>(B14+C14+D14+E14+F14+G14)</f>
        <v>10696</v>
      </c>
      <c r="I14" s="9">
        <f t="shared" si="4"/>
        <v>659</v>
      </c>
      <c r="J14" s="9">
        <f>ROUND((C14-(C14*$M$4)),0)</f>
        <v>3563</v>
      </c>
      <c r="K14" s="9">
        <f>ROUND((D14-(D14*$M$5)),0)</f>
        <v>766</v>
      </c>
      <c r="L14" s="9">
        <f>ROUND((E14-(E14*$M$6)),0)</f>
        <v>1435</v>
      </c>
      <c r="M14" s="9">
        <f>ROUND((F14-(F14*$M$7)),0)</f>
        <v>1347</v>
      </c>
      <c r="N14" s="9">
        <f>ROUND((G14-(G14*$M$8)),0)</f>
        <v>1667</v>
      </c>
      <c r="O14" s="9">
        <f>ROUND((((J14*$B$8) + (L14*$B$9))/2),0)</f>
        <v>2994</v>
      </c>
      <c r="P14" s="9">
        <f>O14</f>
        <v>2994</v>
      </c>
      <c r="Q14" s="9">
        <f t="shared" si="5"/>
        <v>1341</v>
      </c>
      <c r="R14" s="9">
        <f>ROUND(((J14+L14) - ((J14+L14)*$M$4)),0)</f>
        <v>4675</v>
      </c>
      <c r="S14" s="9">
        <f>ROUND((M14-(M14*$M$5)),0)</f>
        <v>1267</v>
      </c>
      <c r="T14" s="9">
        <f>ROUND((N14-(N14*$M$6)),0)</f>
        <v>1532</v>
      </c>
      <c r="U14" s="9">
        <f>ROUND((O14-(O14*$M$9)),0)</f>
        <v>2319</v>
      </c>
      <c r="V14" s="9">
        <f>ROUND((P14-(P14*$M$9)),0)</f>
        <v>2319</v>
      </c>
      <c r="W14" s="9">
        <f>Q14+R14+S14+T14+U14+V14</f>
        <v>13453</v>
      </c>
      <c r="X14" s="9">
        <f>ROUND((W14/W13),2)</f>
        <v>0.99</v>
      </c>
      <c r="Z14" s="14">
        <f t="shared" ref="Z14:Z32" si="7">SUM(O14,P14)</f>
        <v>5988</v>
      </c>
      <c r="AA14" s="14">
        <f t="shared" ref="AA14:AA32" si="8">SUM(F14,G14)</f>
        <v>3811</v>
      </c>
      <c r="AB14" s="14">
        <f t="shared" ref="AB14:AB32" si="9">SUM(D14,E14)</f>
        <v>2375</v>
      </c>
      <c r="AC14" s="14">
        <f t="shared" ref="AC14:AC32" si="10">SUM(B14,C14)</f>
        <v>4510</v>
      </c>
      <c r="AE14">
        <f t="shared" ref="AE14:AE33" si="11">W14-H14</f>
        <v>2757</v>
      </c>
    </row>
    <row r="15" spans="1:31" x14ac:dyDescent="0.25">
      <c r="A15" s="8">
        <v>2026</v>
      </c>
      <c r="B15" s="10">
        <f t="shared" si="6"/>
        <v>443</v>
      </c>
      <c r="C15" s="10">
        <f t="shared" ref="C15:C32" si="12">ROUND((R14-(R14*$P$4)),0)</f>
        <v>3693</v>
      </c>
      <c r="D15" s="10">
        <f t="shared" ref="D15:D32" si="13">ROUND((S14-(S14*$P$5)),0)</f>
        <v>1102</v>
      </c>
      <c r="E15" s="10">
        <f t="shared" ref="E15:E32" si="14">ROUND((T14-(T14*$P$6)),0)</f>
        <v>1409</v>
      </c>
      <c r="F15" s="10">
        <f t="shared" ref="F15:F32" si="15">ROUND((U14-(U14*$P$7)),0)</f>
        <v>2203</v>
      </c>
      <c r="G15" s="10">
        <f t="shared" ref="G15:G32" si="16">ROUND((V14-(V14*$P$8)),0)</f>
        <v>2249</v>
      </c>
      <c r="H15" s="10">
        <f t="shared" ref="H15:H32" si="17">(B15+C15+D15+E15+F15+G15)</f>
        <v>11099</v>
      </c>
      <c r="I15" s="10">
        <f t="shared" si="4"/>
        <v>417</v>
      </c>
      <c r="J15" s="10">
        <f t="shared" ref="J15:J32" si="18">ROUND((C15-(C15*$M$4)),0)</f>
        <v>3454</v>
      </c>
      <c r="K15" s="10">
        <f t="shared" ref="K15:K32" si="19">ROUND((D15-(D15*$M$5)),0)</f>
        <v>1037</v>
      </c>
      <c r="L15" s="10">
        <f t="shared" ref="L15:L32" si="20">ROUND((E15-(E15*$M$6)),0)</f>
        <v>1295</v>
      </c>
      <c r="M15" s="10">
        <f t="shared" ref="M15:M32" si="21">ROUND((F15-(F15*$M$7)),0)</f>
        <v>1573</v>
      </c>
      <c r="N15" s="10">
        <f t="shared" ref="N15:N32" si="22">ROUND((G15-(G15*$M$8)),0)</f>
        <v>1948</v>
      </c>
      <c r="O15" s="10">
        <f t="shared" ref="O15:O32" si="23">ROUND((((J15*$B$8) + (L15*$B$9))/2),0)</f>
        <v>2893</v>
      </c>
      <c r="P15" s="10">
        <f t="shared" ref="P15:P32" si="24">O15</f>
        <v>2893</v>
      </c>
      <c r="Q15" s="10">
        <f t="shared" si="5"/>
        <v>1368</v>
      </c>
      <c r="R15" s="10">
        <f t="shared" ref="R15:R32" si="25">ROUND(((J15+L15) - ((J15+L15)*$M$4)),0)</f>
        <v>4442</v>
      </c>
      <c r="S15" s="10">
        <f t="shared" ref="S15:S32" si="26">ROUND((M15-(M15*$M$5)),0)</f>
        <v>1480</v>
      </c>
      <c r="T15" s="10">
        <f t="shared" ref="T15:T32" si="27">ROUND((N15-(N15*$M$6)),0)</f>
        <v>1791</v>
      </c>
      <c r="U15" s="10">
        <f t="shared" ref="U15:V32" si="28">ROUND((O15-(O15*$M$9)),0)</f>
        <v>2241</v>
      </c>
      <c r="V15" s="10">
        <f t="shared" si="28"/>
        <v>2241</v>
      </c>
      <c r="W15" s="10">
        <f t="shared" ref="W15:W32" si="29">Q15+R15+S15+T15+U15+V15</f>
        <v>13563</v>
      </c>
      <c r="X15" s="10">
        <f t="shared" ref="X15:X32" si="30">ROUND((W15/W14),2)</f>
        <v>1.01</v>
      </c>
      <c r="Z15" s="14">
        <f t="shared" si="7"/>
        <v>5786</v>
      </c>
      <c r="AA15" s="14">
        <f t="shared" si="8"/>
        <v>4452</v>
      </c>
      <c r="AB15" s="14">
        <f t="shared" si="9"/>
        <v>2511</v>
      </c>
      <c r="AC15" s="14">
        <f t="shared" si="10"/>
        <v>4136</v>
      </c>
      <c r="AE15">
        <f t="shared" si="11"/>
        <v>2464</v>
      </c>
    </row>
    <row r="16" spans="1:31" x14ac:dyDescent="0.25">
      <c r="A16" s="8">
        <v>2027</v>
      </c>
      <c r="B16" s="10">
        <f t="shared" si="6"/>
        <v>451</v>
      </c>
      <c r="C16" s="10">
        <f t="shared" si="12"/>
        <v>3509</v>
      </c>
      <c r="D16" s="10">
        <f t="shared" si="13"/>
        <v>1288</v>
      </c>
      <c r="E16" s="10">
        <f t="shared" si="14"/>
        <v>1648</v>
      </c>
      <c r="F16" s="10">
        <f t="shared" si="15"/>
        <v>2129</v>
      </c>
      <c r="G16" s="10">
        <f t="shared" si="16"/>
        <v>2174</v>
      </c>
      <c r="H16" s="10">
        <f t="shared" si="17"/>
        <v>11199</v>
      </c>
      <c r="I16" s="10">
        <f t="shared" si="4"/>
        <v>424</v>
      </c>
      <c r="J16" s="10">
        <f t="shared" si="18"/>
        <v>3282</v>
      </c>
      <c r="K16" s="10">
        <f t="shared" si="19"/>
        <v>1212</v>
      </c>
      <c r="L16" s="10">
        <f t="shared" si="20"/>
        <v>1515</v>
      </c>
      <c r="M16" s="10">
        <f t="shared" si="21"/>
        <v>1520</v>
      </c>
      <c r="N16" s="10">
        <f t="shared" si="22"/>
        <v>1883</v>
      </c>
      <c r="O16" s="10">
        <f t="shared" si="23"/>
        <v>2777</v>
      </c>
      <c r="P16" s="10">
        <f t="shared" si="24"/>
        <v>2777</v>
      </c>
      <c r="Q16" s="10">
        <f t="shared" si="5"/>
        <v>1539</v>
      </c>
      <c r="R16" s="10">
        <f t="shared" si="25"/>
        <v>4487</v>
      </c>
      <c r="S16" s="10">
        <f t="shared" si="26"/>
        <v>1430</v>
      </c>
      <c r="T16" s="10">
        <f t="shared" si="27"/>
        <v>1731</v>
      </c>
      <c r="U16" s="10">
        <f t="shared" si="28"/>
        <v>2151</v>
      </c>
      <c r="V16" s="10">
        <f t="shared" si="28"/>
        <v>2151</v>
      </c>
      <c r="W16" s="10">
        <f t="shared" si="29"/>
        <v>13489</v>
      </c>
      <c r="X16" s="10">
        <f t="shared" si="30"/>
        <v>0.99</v>
      </c>
      <c r="Z16" s="14">
        <f t="shared" si="7"/>
        <v>5554</v>
      </c>
      <c r="AA16" s="14">
        <f t="shared" si="8"/>
        <v>4303</v>
      </c>
      <c r="AB16" s="14">
        <f t="shared" si="9"/>
        <v>2936</v>
      </c>
      <c r="AC16" s="14">
        <f t="shared" si="10"/>
        <v>3960</v>
      </c>
      <c r="AE16">
        <f t="shared" si="11"/>
        <v>2290</v>
      </c>
    </row>
    <row r="17" spans="1:31" x14ac:dyDescent="0.25">
      <c r="A17" s="8">
        <v>2028</v>
      </c>
      <c r="B17" s="10">
        <f t="shared" si="6"/>
        <v>508</v>
      </c>
      <c r="C17" s="10">
        <f t="shared" si="12"/>
        <v>3545</v>
      </c>
      <c r="D17" s="10">
        <f t="shared" si="13"/>
        <v>1244</v>
      </c>
      <c r="E17" s="10">
        <f t="shared" si="14"/>
        <v>1593</v>
      </c>
      <c r="F17" s="10">
        <f t="shared" si="15"/>
        <v>2043</v>
      </c>
      <c r="G17" s="10">
        <f t="shared" si="16"/>
        <v>2086</v>
      </c>
      <c r="H17" s="10">
        <f t="shared" si="17"/>
        <v>11019</v>
      </c>
      <c r="I17" s="10">
        <f t="shared" si="4"/>
        <v>478</v>
      </c>
      <c r="J17" s="10">
        <f t="shared" si="18"/>
        <v>3316</v>
      </c>
      <c r="K17" s="10">
        <f t="shared" si="19"/>
        <v>1170</v>
      </c>
      <c r="L17" s="10">
        <f t="shared" si="20"/>
        <v>1464</v>
      </c>
      <c r="M17" s="10">
        <f t="shared" si="21"/>
        <v>1459</v>
      </c>
      <c r="N17" s="10">
        <f t="shared" si="22"/>
        <v>1807</v>
      </c>
      <c r="O17" s="10">
        <f t="shared" si="23"/>
        <v>2799</v>
      </c>
      <c r="P17" s="10">
        <f t="shared" si="24"/>
        <v>2799</v>
      </c>
      <c r="Q17" s="10">
        <f t="shared" si="5"/>
        <v>1550</v>
      </c>
      <c r="R17" s="10">
        <f t="shared" si="25"/>
        <v>4471</v>
      </c>
      <c r="S17" s="10">
        <f t="shared" si="26"/>
        <v>1373</v>
      </c>
      <c r="T17" s="10">
        <f t="shared" si="27"/>
        <v>1661</v>
      </c>
      <c r="U17" s="10">
        <f t="shared" si="28"/>
        <v>2168</v>
      </c>
      <c r="V17" s="10">
        <f t="shared" si="28"/>
        <v>2168</v>
      </c>
      <c r="W17" s="10">
        <f t="shared" si="29"/>
        <v>13391</v>
      </c>
      <c r="X17" s="10">
        <f t="shared" si="30"/>
        <v>0.99</v>
      </c>
      <c r="Z17" s="14">
        <f t="shared" si="7"/>
        <v>5598</v>
      </c>
      <c r="AA17" s="14">
        <f t="shared" si="8"/>
        <v>4129</v>
      </c>
      <c r="AB17" s="14">
        <f t="shared" si="9"/>
        <v>2837</v>
      </c>
      <c r="AC17" s="14">
        <f t="shared" si="10"/>
        <v>4053</v>
      </c>
      <c r="AE17">
        <f t="shared" si="11"/>
        <v>2372</v>
      </c>
    </row>
    <row r="18" spans="1:31" x14ac:dyDescent="0.25">
      <c r="A18" s="8">
        <v>2029</v>
      </c>
      <c r="B18" s="10">
        <f t="shared" si="6"/>
        <v>512</v>
      </c>
      <c r="C18" s="10">
        <f t="shared" si="12"/>
        <v>3532</v>
      </c>
      <c r="D18" s="10">
        <f t="shared" si="13"/>
        <v>1195</v>
      </c>
      <c r="E18" s="10">
        <f t="shared" si="14"/>
        <v>1528</v>
      </c>
      <c r="F18" s="10">
        <f t="shared" si="15"/>
        <v>2060</v>
      </c>
      <c r="G18" s="10">
        <f t="shared" si="16"/>
        <v>2103</v>
      </c>
      <c r="H18" s="10">
        <f t="shared" si="17"/>
        <v>10930</v>
      </c>
      <c r="I18" s="10">
        <f t="shared" si="4"/>
        <v>482</v>
      </c>
      <c r="J18" s="10">
        <f t="shared" si="18"/>
        <v>3304</v>
      </c>
      <c r="K18" s="10">
        <f t="shared" si="19"/>
        <v>1124</v>
      </c>
      <c r="L18" s="10">
        <f t="shared" si="20"/>
        <v>1405</v>
      </c>
      <c r="M18" s="10">
        <f t="shared" si="21"/>
        <v>1471</v>
      </c>
      <c r="N18" s="10">
        <f t="shared" si="22"/>
        <v>1821</v>
      </c>
      <c r="O18" s="10">
        <f t="shared" si="23"/>
        <v>2784</v>
      </c>
      <c r="P18" s="10">
        <f t="shared" si="24"/>
        <v>2784</v>
      </c>
      <c r="Q18" s="10">
        <f t="shared" si="5"/>
        <v>1511</v>
      </c>
      <c r="R18" s="10">
        <f t="shared" si="25"/>
        <v>4405</v>
      </c>
      <c r="S18" s="10">
        <f t="shared" si="26"/>
        <v>1384</v>
      </c>
      <c r="T18" s="10">
        <f t="shared" si="27"/>
        <v>1674</v>
      </c>
      <c r="U18" s="10">
        <f t="shared" si="28"/>
        <v>2156</v>
      </c>
      <c r="V18" s="10">
        <f t="shared" si="28"/>
        <v>2156</v>
      </c>
      <c r="W18" s="10">
        <f t="shared" si="29"/>
        <v>13286</v>
      </c>
      <c r="X18" s="10">
        <f t="shared" si="30"/>
        <v>0.99</v>
      </c>
      <c r="Z18" s="14">
        <f t="shared" si="7"/>
        <v>5568</v>
      </c>
      <c r="AA18" s="14">
        <f t="shared" si="8"/>
        <v>4163</v>
      </c>
      <c r="AB18" s="14">
        <f t="shared" si="9"/>
        <v>2723</v>
      </c>
      <c r="AC18" s="14">
        <f t="shared" si="10"/>
        <v>4044</v>
      </c>
      <c r="AE18">
        <f t="shared" si="11"/>
        <v>2356</v>
      </c>
    </row>
    <row r="19" spans="1:31" x14ac:dyDescent="0.25">
      <c r="A19" s="8">
        <v>2030</v>
      </c>
      <c r="B19" s="10">
        <f t="shared" si="6"/>
        <v>499</v>
      </c>
      <c r="C19" s="10">
        <f t="shared" si="12"/>
        <v>3480</v>
      </c>
      <c r="D19" s="10">
        <f t="shared" si="13"/>
        <v>1204</v>
      </c>
      <c r="E19" s="10">
        <f t="shared" si="14"/>
        <v>1540</v>
      </c>
      <c r="F19" s="10">
        <f t="shared" si="15"/>
        <v>2048</v>
      </c>
      <c r="G19" s="10">
        <f t="shared" si="16"/>
        <v>2091</v>
      </c>
      <c r="H19" s="10">
        <f t="shared" si="17"/>
        <v>10862</v>
      </c>
      <c r="I19" s="10">
        <f t="shared" si="4"/>
        <v>469</v>
      </c>
      <c r="J19" s="10">
        <f t="shared" si="18"/>
        <v>3255</v>
      </c>
      <c r="K19" s="10">
        <f t="shared" si="19"/>
        <v>1133</v>
      </c>
      <c r="L19" s="10">
        <f t="shared" si="20"/>
        <v>1416</v>
      </c>
      <c r="M19" s="10">
        <f t="shared" si="21"/>
        <v>1463</v>
      </c>
      <c r="N19" s="10">
        <f t="shared" si="22"/>
        <v>1811</v>
      </c>
      <c r="O19" s="10">
        <f t="shared" si="23"/>
        <v>2746</v>
      </c>
      <c r="P19" s="10">
        <f t="shared" si="24"/>
        <v>2746</v>
      </c>
      <c r="Q19" s="10">
        <f t="shared" si="5"/>
        <v>1507</v>
      </c>
      <c r="R19" s="10">
        <f t="shared" si="25"/>
        <v>4369</v>
      </c>
      <c r="S19" s="10">
        <f t="shared" si="26"/>
        <v>1376</v>
      </c>
      <c r="T19" s="10">
        <f t="shared" si="27"/>
        <v>1665</v>
      </c>
      <c r="U19" s="10">
        <f t="shared" si="28"/>
        <v>2127</v>
      </c>
      <c r="V19" s="10">
        <f t="shared" si="28"/>
        <v>2127</v>
      </c>
      <c r="W19" s="10">
        <f t="shared" si="29"/>
        <v>13171</v>
      </c>
      <c r="X19" s="10">
        <f t="shared" si="30"/>
        <v>0.99</v>
      </c>
      <c r="Z19" s="14">
        <f t="shared" si="7"/>
        <v>5492</v>
      </c>
      <c r="AA19" s="14">
        <f t="shared" si="8"/>
        <v>4139</v>
      </c>
      <c r="AB19" s="14">
        <f t="shared" si="9"/>
        <v>2744</v>
      </c>
      <c r="AC19" s="14">
        <f t="shared" si="10"/>
        <v>3979</v>
      </c>
      <c r="AE19">
        <f t="shared" si="11"/>
        <v>2309</v>
      </c>
    </row>
    <row r="20" spans="1:31" x14ac:dyDescent="0.25">
      <c r="A20" s="8">
        <v>2031</v>
      </c>
      <c r="B20" s="10">
        <f t="shared" si="6"/>
        <v>497</v>
      </c>
      <c r="C20" s="10">
        <f t="shared" si="12"/>
        <v>3452</v>
      </c>
      <c r="D20" s="10">
        <f t="shared" si="13"/>
        <v>1197</v>
      </c>
      <c r="E20" s="10">
        <f t="shared" si="14"/>
        <v>1532</v>
      </c>
      <c r="F20" s="10">
        <f t="shared" si="15"/>
        <v>2021</v>
      </c>
      <c r="G20" s="10">
        <f t="shared" si="16"/>
        <v>2063</v>
      </c>
      <c r="H20" s="10">
        <f t="shared" si="17"/>
        <v>10762</v>
      </c>
      <c r="I20" s="10">
        <f t="shared" si="4"/>
        <v>468</v>
      </c>
      <c r="J20" s="10">
        <f t="shared" si="18"/>
        <v>3229</v>
      </c>
      <c r="K20" s="10">
        <f t="shared" si="19"/>
        <v>1126</v>
      </c>
      <c r="L20" s="10">
        <f t="shared" si="20"/>
        <v>1408</v>
      </c>
      <c r="M20" s="10">
        <f t="shared" si="21"/>
        <v>1443</v>
      </c>
      <c r="N20" s="10">
        <f t="shared" si="22"/>
        <v>1787</v>
      </c>
      <c r="O20" s="10">
        <f t="shared" si="23"/>
        <v>2724</v>
      </c>
      <c r="P20" s="10">
        <f t="shared" si="24"/>
        <v>2724</v>
      </c>
      <c r="Q20" s="10">
        <f t="shared" si="5"/>
        <v>1500</v>
      </c>
      <c r="R20" s="10">
        <f t="shared" si="25"/>
        <v>4338</v>
      </c>
      <c r="S20" s="10">
        <f t="shared" si="26"/>
        <v>1357</v>
      </c>
      <c r="T20" s="10">
        <f t="shared" si="27"/>
        <v>1643</v>
      </c>
      <c r="U20" s="10">
        <f t="shared" si="28"/>
        <v>2110</v>
      </c>
      <c r="V20" s="10">
        <f t="shared" si="28"/>
        <v>2110</v>
      </c>
      <c r="W20" s="10">
        <f t="shared" si="29"/>
        <v>13058</v>
      </c>
      <c r="X20" s="10">
        <f t="shared" si="30"/>
        <v>0.99</v>
      </c>
      <c r="Z20" s="14">
        <f t="shared" si="7"/>
        <v>5448</v>
      </c>
      <c r="AA20" s="14">
        <f t="shared" si="8"/>
        <v>4084</v>
      </c>
      <c r="AB20" s="14">
        <f t="shared" si="9"/>
        <v>2729</v>
      </c>
      <c r="AC20" s="14">
        <f t="shared" si="10"/>
        <v>3949</v>
      </c>
      <c r="AE20">
        <f t="shared" si="11"/>
        <v>2296</v>
      </c>
    </row>
    <row r="21" spans="1:31" x14ac:dyDescent="0.25">
      <c r="A21" s="8">
        <v>2032</v>
      </c>
      <c r="B21" s="10">
        <f t="shared" si="6"/>
        <v>495</v>
      </c>
      <c r="C21" s="10">
        <f t="shared" si="12"/>
        <v>3427</v>
      </c>
      <c r="D21" s="10">
        <f t="shared" si="13"/>
        <v>1181</v>
      </c>
      <c r="E21" s="10">
        <f t="shared" si="14"/>
        <v>1512</v>
      </c>
      <c r="F21" s="10">
        <f t="shared" si="15"/>
        <v>2005</v>
      </c>
      <c r="G21" s="10">
        <f t="shared" si="16"/>
        <v>2047</v>
      </c>
      <c r="H21" s="10">
        <f t="shared" si="17"/>
        <v>10667</v>
      </c>
      <c r="I21" s="10">
        <f t="shared" si="4"/>
        <v>466</v>
      </c>
      <c r="J21" s="10">
        <f t="shared" si="18"/>
        <v>3206</v>
      </c>
      <c r="K21" s="10">
        <f t="shared" si="19"/>
        <v>1111</v>
      </c>
      <c r="L21" s="10">
        <f t="shared" si="20"/>
        <v>1390</v>
      </c>
      <c r="M21" s="10">
        <f t="shared" si="21"/>
        <v>1432</v>
      </c>
      <c r="N21" s="10">
        <f t="shared" si="22"/>
        <v>1773</v>
      </c>
      <c r="O21" s="10">
        <f t="shared" si="23"/>
        <v>2704</v>
      </c>
      <c r="P21" s="10">
        <f t="shared" si="24"/>
        <v>2704</v>
      </c>
      <c r="Q21" s="10">
        <f t="shared" si="5"/>
        <v>1484</v>
      </c>
      <c r="R21" s="10">
        <f t="shared" si="25"/>
        <v>4299</v>
      </c>
      <c r="S21" s="10">
        <f t="shared" si="26"/>
        <v>1347</v>
      </c>
      <c r="T21" s="10">
        <f t="shared" si="27"/>
        <v>1630</v>
      </c>
      <c r="U21" s="10">
        <f t="shared" si="28"/>
        <v>2095</v>
      </c>
      <c r="V21" s="10">
        <f t="shared" si="28"/>
        <v>2095</v>
      </c>
      <c r="W21" s="10">
        <f t="shared" si="29"/>
        <v>12950</v>
      </c>
      <c r="X21" s="10">
        <f t="shared" si="30"/>
        <v>0.99</v>
      </c>
      <c r="Z21" s="14">
        <f t="shared" si="7"/>
        <v>5408</v>
      </c>
      <c r="AA21" s="14">
        <f t="shared" si="8"/>
        <v>4052</v>
      </c>
      <c r="AB21" s="14">
        <f t="shared" si="9"/>
        <v>2693</v>
      </c>
      <c r="AC21" s="14">
        <f t="shared" si="10"/>
        <v>3922</v>
      </c>
      <c r="AE21">
        <f t="shared" si="11"/>
        <v>2283</v>
      </c>
    </row>
    <row r="22" spans="1:31" x14ac:dyDescent="0.25">
      <c r="A22" s="8">
        <v>2033</v>
      </c>
      <c r="B22" s="10">
        <f t="shared" si="6"/>
        <v>490</v>
      </c>
      <c r="C22" s="10">
        <f t="shared" si="12"/>
        <v>3396</v>
      </c>
      <c r="D22" s="10">
        <f t="shared" si="13"/>
        <v>1172</v>
      </c>
      <c r="E22" s="10">
        <f t="shared" si="14"/>
        <v>1500</v>
      </c>
      <c r="F22" s="10">
        <f t="shared" si="15"/>
        <v>1990</v>
      </c>
      <c r="G22" s="10">
        <f t="shared" si="16"/>
        <v>2032</v>
      </c>
      <c r="H22" s="10">
        <f t="shared" si="17"/>
        <v>10580</v>
      </c>
      <c r="I22" s="10">
        <f t="shared" si="4"/>
        <v>461</v>
      </c>
      <c r="J22" s="10">
        <f t="shared" si="18"/>
        <v>3177</v>
      </c>
      <c r="K22" s="10">
        <f t="shared" si="19"/>
        <v>1103</v>
      </c>
      <c r="L22" s="10">
        <f t="shared" si="20"/>
        <v>1379</v>
      </c>
      <c r="M22" s="10">
        <f t="shared" si="21"/>
        <v>1421</v>
      </c>
      <c r="N22" s="10">
        <f t="shared" si="22"/>
        <v>1760</v>
      </c>
      <c r="O22" s="10">
        <f t="shared" si="23"/>
        <v>2680</v>
      </c>
      <c r="P22" s="10">
        <f t="shared" si="24"/>
        <v>2680</v>
      </c>
      <c r="Q22" s="10">
        <f t="shared" si="5"/>
        <v>1471</v>
      </c>
      <c r="R22" s="10">
        <f t="shared" si="25"/>
        <v>4262</v>
      </c>
      <c r="S22" s="10">
        <f t="shared" si="26"/>
        <v>1337</v>
      </c>
      <c r="T22" s="10">
        <f t="shared" si="27"/>
        <v>1618</v>
      </c>
      <c r="U22" s="10">
        <f t="shared" si="28"/>
        <v>2076</v>
      </c>
      <c r="V22" s="10">
        <f t="shared" si="28"/>
        <v>2076</v>
      </c>
      <c r="W22" s="10">
        <f t="shared" si="29"/>
        <v>12840</v>
      </c>
      <c r="X22" s="10">
        <f t="shared" si="30"/>
        <v>0.99</v>
      </c>
      <c r="Z22" s="14">
        <f t="shared" si="7"/>
        <v>5360</v>
      </c>
      <c r="AA22" s="14">
        <f t="shared" si="8"/>
        <v>4022</v>
      </c>
      <c r="AB22" s="14">
        <f t="shared" si="9"/>
        <v>2672</v>
      </c>
      <c r="AC22" s="14">
        <f t="shared" si="10"/>
        <v>3886</v>
      </c>
      <c r="AE22">
        <f t="shared" si="11"/>
        <v>2260</v>
      </c>
    </row>
    <row r="23" spans="1:31" x14ac:dyDescent="0.25">
      <c r="A23" s="8">
        <v>2034</v>
      </c>
      <c r="B23" s="10">
        <f t="shared" si="6"/>
        <v>485</v>
      </c>
      <c r="C23" s="10">
        <f t="shared" si="12"/>
        <v>3367</v>
      </c>
      <c r="D23" s="10">
        <f t="shared" si="13"/>
        <v>1163</v>
      </c>
      <c r="E23" s="10">
        <f t="shared" si="14"/>
        <v>1489</v>
      </c>
      <c r="F23" s="10">
        <f t="shared" si="15"/>
        <v>1972</v>
      </c>
      <c r="G23" s="10">
        <f t="shared" si="16"/>
        <v>2014</v>
      </c>
      <c r="H23" s="10">
        <f t="shared" si="17"/>
        <v>10490</v>
      </c>
      <c r="I23" s="10">
        <f t="shared" si="4"/>
        <v>456</v>
      </c>
      <c r="J23" s="10">
        <f t="shared" si="18"/>
        <v>3150</v>
      </c>
      <c r="K23" s="10">
        <f t="shared" si="19"/>
        <v>1094</v>
      </c>
      <c r="L23" s="10">
        <f t="shared" si="20"/>
        <v>1369</v>
      </c>
      <c r="M23" s="10">
        <f t="shared" si="21"/>
        <v>1408</v>
      </c>
      <c r="N23" s="10">
        <f t="shared" si="22"/>
        <v>1744</v>
      </c>
      <c r="O23" s="10">
        <f t="shared" si="23"/>
        <v>2657</v>
      </c>
      <c r="P23" s="10">
        <f t="shared" si="24"/>
        <v>2657</v>
      </c>
      <c r="Q23" s="10">
        <f t="shared" si="5"/>
        <v>1458</v>
      </c>
      <c r="R23" s="10">
        <f t="shared" si="25"/>
        <v>4227</v>
      </c>
      <c r="S23" s="10">
        <f t="shared" si="26"/>
        <v>1325</v>
      </c>
      <c r="T23" s="10">
        <f t="shared" si="27"/>
        <v>1603</v>
      </c>
      <c r="U23" s="10">
        <f t="shared" si="28"/>
        <v>2058</v>
      </c>
      <c r="V23" s="10">
        <f t="shared" si="28"/>
        <v>2058</v>
      </c>
      <c r="W23" s="10">
        <f t="shared" si="29"/>
        <v>12729</v>
      </c>
      <c r="X23" s="10">
        <f t="shared" si="30"/>
        <v>0.99</v>
      </c>
      <c r="Z23" s="14">
        <f t="shared" si="7"/>
        <v>5314</v>
      </c>
      <c r="AA23" s="14">
        <f t="shared" si="8"/>
        <v>3986</v>
      </c>
      <c r="AB23" s="14">
        <f t="shared" si="9"/>
        <v>2652</v>
      </c>
      <c r="AC23" s="14">
        <f t="shared" si="10"/>
        <v>3852</v>
      </c>
      <c r="AE23">
        <f t="shared" si="11"/>
        <v>2239</v>
      </c>
    </row>
    <row r="24" spans="1:31" x14ac:dyDescent="0.25">
      <c r="A24" s="8">
        <v>2035</v>
      </c>
      <c r="B24" s="10">
        <f t="shared" si="6"/>
        <v>481</v>
      </c>
      <c r="C24" s="10">
        <f t="shared" si="12"/>
        <v>3339</v>
      </c>
      <c r="D24" s="10">
        <f t="shared" si="13"/>
        <v>1153</v>
      </c>
      <c r="E24" s="10">
        <f t="shared" si="14"/>
        <v>1475</v>
      </c>
      <c r="F24" s="10">
        <f t="shared" si="15"/>
        <v>1955</v>
      </c>
      <c r="G24" s="10">
        <f t="shared" si="16"/>
        <v>1996</v>
      </c>
      <c r="H24" s="10">
        <f t="shared" si="17"/>
        <v>10399</v>
      </c>
      <c r="I24" s="10">
        <f t="shared" si="4"/>
        <v>452</v>
      </c>
      <c r="J24" s="10">
        <f t="shared" si="18"/>
        <v>3123</v>
      </c>
      <c r="K24" s="10">
        <f t="shared" si="19"/>
        <v>1085</v>
      </c>
      <c r="L24" s="10">
        <f t="shared" si="20"/>
        <v>1356</v>
      </c>
      <c r="M24" s="10">
        <f t="shared" si="21"/>
        <v>1396</v>
      </c>
      <c r="N24" s="10">
        <f t="shared" si="22"/>
        <v>1729</v>
      </c>
      <c r="O24" s="10">
        <f t="shared" si="23"/>
        <v>2634</v>
      </c>
      <c r="P24" s="10">
        <f t="shared" si="24"/>
        <v>2634</v>
      </c>
      <c r="Q24" s="10">
        <f t="shared" si="5"/>
        <v>1446</v>
      </c>
      <c r="R24" s="10">
        <f t="shared" si="25"/>
        <v>4190</v>
      </c>
      <c r="S24" s="10">
        <f t="shared" si="26"/>
        <v>1313</v>
      </c>
      <c r="T24" s="10">
        <f t="shared" si="27"/>
        <v>1589</v>
      </c>
      <c r="U24" s="10">
        <f t="shared" si="28"/>
        <v>2040</v>
      </c>
      <c r="V24" s="10">
        <f t="shared" si="28"/>
        <v>2040</v>
      </c>
      <c r="W24" s="10">
        <f t="shared" si="29"/>
        <v>12618</v>
      </c>
      <c r="X24" s="10">
        <f t="shared" si="30"/>
        <v>0.99</v>
      </c>
      <c r="Z24" s="14">
        <f t="shared" si="7"/>
        <v>5268</v>
      </c>
      <c r="AA24" s="14">
        <f t="shared" si="8"/>
        <v>3951</v>
      </c>
      <c r="AB24" s="14">
        <f t="shared" si="9"/>
        <v>2628</v>
      </c>
      <c r="AC24" s="14">
        <f t="shared" si="10"/>
        <v>3820</v>
      </c>
      <c r="AE24">
        <f t="shared" si="11"/>
        <v>2219</v>
      </c>
    </row>
    <row r="25" spans="1:31" x14ac:dyDescent="0.25">
      <c r="A25" s="8">
        <v>2036</v>
      </c>
      <c r="B25" s="10">
        <f t="shared" si="6"/>
        <v>477</v>
      </c>
      <c r="C25" s="10">
        <f t="shared" si="12"/>
        <v>3310</v>
      </c>
      <c r="D25" s="10">
        <f t="shared" si="13"/>
        <v>1142</v>
      </c>
      <c r="E25" s="10">
        <f t="shared" si="14"/>
        <v>1462</v>
      </c>
      <c r="F25" s="10">
        <f t="shared" si="15"/>
        <v>1938</v>
      </c>
      <c r="G25" s="10">
        <f t="shared" si="16"/>
        <v>1979</v>
      </c>
      <c r="H25" s="10">
        <f t="shared" si="17"/>
        <v>10308</v>
      </c>
      <c r="I25" s="10">
        <f t="shared" si="4"/>
        <v>449</v>
      </c>
      <c r="J25" s="10">
        <f t="shared" si="18"/>
        <v>3096</v>
      </c>
      <c r="K25" s="10">
        <f t="shared" si="19"/>
        <v>1074</v>
      </c>
      <c r="L25" s="10">
        <f t="shared" si="20"/>
        <v>1344</v>
      </c>
      <c r="M25" s="10">
        <f t="shared" si="21"/>
        <v>1384</v>
      </c>
      <c r="N25" s="10">
        <f t="shared" si="22"/>
        <v>1714</v>
      </c>
      <c r="O25" s="10">
        <f t="shared" si="23"/>
        <v>2611</v>
      </c>
      <c r="P25" s="10">
        <f t="shared" si="24"/>
        <v>2611</v>
      </c>
      <c r="Q25" s="10">
        <f t="shared" si="5"/>
        <v>1433</v>
      </c>
      <c r="R25" s="10">
        <f t="shared" si="25"/>
        <v>4153</v>
      </c>
      <c r="S25" s="10">
        <f t="shared" si="26"/>
        <v>1302</v>
      </c>
      <c r="T25" s="10">
        <f t="shared" si="27"/>
        <v>1576</v>
      </c>
      <c r="U25" s="10">
        <f t="shared" si="28"/>
        <v>2022</v>
      </c>
      <c r="V25" s="10">
        <f t="shared" si="28"/>
        <v>2022</v>
      </c>
      <c r="W25" s="10">
        <f t="shared" si="29"/>
        <v>12508</v>
      </c>
      <c r="X25" s="10">
        <f t="shared" si="30"/>
        <v>0.99</v>
      </c>
      <c r="Z25" s="14">
        <f t="shared" si="7"/>
        <v>5222</v>
      </c>
      <c r="AA25" s="14">
        <f t="shared" si="8"/>
        <v>3917</v>
      </c>
      <c r="AB25" s="14">
        <f t="shared" si="9"/>
        <v>2604</v>
      </c>
      <c r="AC25" s="14">
        <f t="shared" si="10"/>
        <v>3787</v>
      </c>
      <c r="AE25">
        <f t="shared" si="11"/>
        <v>2200</v>
      </c>
    </row>
    <row r="26" spans="1:31" x14ac:dyDescent="0.25">
      <c r="A26" s="8">
        <v>2037</v>
      </c>
      <c r="B26" s="10">
        <f t="shared" si="6"/>
        <v>473</v>
      </c>
      <c r="C26" s="10">
        <f t="shared" si="12"/>
        <v>3281</v>
      </c>
      <c r="D26" s="10">
        <f t="shared" si="13"/>
        <v>1133</v>
      </c>
      <c r="E26" s="10">
        <f t="shared" si="14"/>
        <v>1450</v>
      </c>
      <c r="F26" s="10">
        <f t="shared" si="15"/>
        <v>1921</v>
      </c>
      <c r="G26" s="10">
        <f t="shared" si="16"/>
        <v>1961</v>
      </c>
      <c r="H26" s="10">
        <f t="shared" si="17"/>
        <v>10219</v>
      </c>
      <c r="I26" s="10">
        <f t="shared" si="4"/>
        <v>445</v>
      </c>
      <c r="J26" s="10">
        <f t="shared" si="18"/>
        <v>3069</v>
      </c>
      <c r="K26" s="10">
        <f t="shared" si="19"/>
        <v>1066</v>
      </c>
      <c r="L26" s="10">
        <f t="shared" si="20"/>
        <v>1333</v>
      </c>
      <c r="M26" s="10">
        <f t="shared" si="21"/>
        <v>1372</v>
      </c>
      <c r="N26" s="10">
        <f t="shared" si="22"/>
        <v>1698</v>
      </c>
      <c r="O26" s="10">
        <f t="shared" si="23"/>
        <v>2589</v>
      </c>
      <c r="P26" s="10">
        <f t="shared" si="24"/>
        <v>2589</v>
      </c>
      <c r="Q26" s="10">
        <f t="shared" si="5"/>
        <v>1421</v>
      </c>
      <c r="R26" s="10">
        <f t="shared" si="25"/>
        <v>4118</v>
      </c>
      <c r="S26" s="10">
        <f t="shared" si="26"/>
        <v>1291</v>
      </c>
      <c r="T26" s="10">
        <f t="shared" si="27"/>
        <v>1561</v>
      </c>
      <c r="U26" s="10">
        <f t="shared" si="28"/>
        <v>2005</v>
      </c>
      <c r="V26" s="10">
        <f t="shared" si="28"/>
        <v>2005</v>
      </c>
      <c r="W26" s="10">
        <f t="shared" si="29"/>
        <v>12401</v>
      </c>
      <c r="X26" s="10">
        <f t="shared" si="30"/>
        <v>0.99</v>
      </c>
      <c r="Z26" s="14">
        <f t="shared" si="7"/>
        <v>5178</v>
      </c>
      <c r="AA26" s="14">
        <f t="shared" si="8"/>
        <v>3882</v>
      </c>
      <c r="AB26" s="14">
        <f t="shared" si="9"/>
        <v>2583</v>
      </c>
      <c r="AC26" s="14">
        <f t="shared" si="10"/>
        <v>3754</v>
      </c>
      <c r="AE26">
        <f t="shared" si="11"/>
        <v>2182</v>
      </c>
    </row>
    <row r="27" spans="1:31" x14ac:dyDescent="0.25">
      <c r="A27" s="8">
        <v>2038</v>
      </c>
      <c r="B27" s="10">
        <f t="shared" si="6"/>
        <v>469</v>
      </c>
      <c r="C27" s="10">
        <f t="shared" si="12"/>
        <v>3253</v>
      </c>
      <c r="D27" s="10">
        <f t="shared" si="13"/>
        <v>1123</v>
      </c>
      <c r="E27" s="10">
        <f t="shared" si="14"/>
        <v>1436</v>
      </c>
      <c r="F27" s="10">
        <f t="shared" si="15"/>
        <v>1905</v>
      </c>
      <c r="G27" s="10">
        <f t="shared" si="16"/>
        <v>1945</v>
      </c>
      <c r="H27" s="10">
        <f t="shared" si="17"/>
        <v>10131</v>
      </c>
      <c r="I27" s="10">
        <f t="shared" si="4"/>
        <v>441</v>
      </c>
      <c r="J27" s="10">
        <f t="shared" si="18"/>
        <v>3043</v>
      </c>
      <c r="K27" s="10">
        <f t="shared" si="19"/>
        <v>1056</v>
      </c>
      <c r="L27" s="10">
        <f t="shared" si="20"/>
        <v>1320</v>
      </c>
      <c r="M27" s="10">
        <f t="shared" si="21"/>
        <v>1360</v>
      </c>
      <c r="N27" s="10">
        <f t="shared" si="22"/>
        <v>1684</v>
      </c>
      <c r="O27" s="10">
        <f t="shared" si="23"/>
        <v>2566</v>
      </c>
      <c r="P27" s="10">
        <f t="shared" si="24"/>
        <v>2566</v>
      </c>
      <c r="Q27" s="10">
        <f t="shared" si="5"/>
        <v>1408</v>
      </c>
      <c r="R27" s="10">
        <f t="shared" si="25"/>
        <v>4081</v>
      </c>
      <c r="S27" s="10">
        <f t="shared" si="26"/>
        <v>1279</v>
      </c>
      <c r="T27" s="10">
        <f t="shared" si="27"/>
        <v>1548</v>
      </c>
      <c r="U27" s="10">
        <f t="shared" si="28"/>
        <v>1988</v>
      </c>
      <c r="V27" s="10">
        <f t="shared" si="28"/>
        <v>1988</v>
      </c>
      <c r="W27" s="10">
        <f t="shared" si="29"/>
        <v>12292</v>
      </c>
      <c r="X27" s="10">
        <f t="shared" si="30"/>
        <v>0.99</v>
      </c>
      <c r="Z27" s="14">
        <f t="shared" si="7"/>
        <v>5132</v>
      </c>
      <c r="AA27" s="14">
        <f t="shared" si="8"/>
        <v>3850</v>
      </c>
      <c r="AB27" s="14">
        <f t="shared" si="9"/>
        <v>2559</v>
      </c>
      <c r="AC27" s="14">
        <f t="shared" si="10"/>
        <v>3722</v>
      </c>
      <c r="AE27">
        <f t="shared" si="11"/>
        <v>2161</v>
      </c>
    </row>
    <row r="28" spans="1:31" x14ac:dyDescent="0.25">
      <c r="A28" s="8">
        <v>2039</v>
      </c>
      <c r="B28" s="10">
        <f t="shared" si="6"/>
        <v>465</v>
      </c>
      <c r="C28" s="10">
        <f t="shared" si="12"/>
        <v>3224</v>
      </c>
      <c r="D28" s="10">
        <f t="shared" si="13"/>
        <v>1113</v>
      </c>
      <c r="E28" s="10">
        <f t="shared" si="14"/>
        <v>1424</v>
      </c>
      <c r="F28" s="10">
        <f t="shared" si="15"/>
        <v>1889</v>
      </c>
      <c r="G28" s="10">
        <f t="shared" si="16"/>
        <v>1928</v>
      </c>
      <c r="H28" s="10">
        <f t="shared" si="17"/>
        <v>10043</v>
      </c>
      <c r="I28" s="10">
        <f t="shared" si="4"/>
        <v>437</v>
      </c>
      <c r="J28" s="10">
        <f t="shared" si="18"/>
        <v>3016</v>
      </c>
      <c r="K28" s="10">
        <f t="shared" si="19"/>
        <v>1047</v>
      </c>
      <c r="L28" s="10">
        <f t="shared" si="20"/>
        <v>1309</v>
      </c>
      <c r="M28" s="10">
        <f t="shared" si="21"/>
        <v>1349</v>
      </c>
      <c r="N28" s="10">
        <f t="shared" si="22"/>
        <v>1670</v>
      </c>
      <c r="O28" s="10">
        <f t="shared" si="23"/>
        <v>2544</v>
      </c>
      <c r="P28" s="10">
        <f t="shared" si="24"/>
        <v>2544</v>
      </c>
      <c r="Q28" s="10">
        <f t="shared" si="5"/>
        <v>1396</v>
      </c>
      <c r="R28" s="10">
        <f t="shared" si="25"/>
        <v>4046</v>
      </c>
      <c r="S28" s="10">
        <f t="shared" si="26"/>
        <v>1269</v>
      </c>
      <c r="T28" s="10">
        <f t="shared" si="27"/>
        <v>1535</v>
      </c>
      <c r="U28" s="10">
        <f t="shared" si="28"/>
        <v>1971</v>
      </c>
      <c r="V28" s="10">
        <f t="shared" si="28"/>
        <v>1971</v>
      </c>
      <c r="W28" s="10">
        <f t="shared" si="29"/>
        <v>12188</v>
      </c>
      <c r="X28" s="10">
        <f t="shared" si="30"/>
        <v>0.99</v>
      </c>
      <c r="Z28" s="14">
        <f t="shared" si="7"/>
        <v>5088</v>
      </c>
      <c r="AA28" s="14">
        <f t="shared" si="8"/>
        <v>3817</v>
      </c>
      <c r="AB28" s="14">
        <f t="shared" si="9"/>
        <v>2537</v>
      </c>
      <c r="AC28" s="14">
        <f t="shared" si="10"/>
        <v>3689</v>
      </c>
      <c r="AE28">
        <f t="shared" si="11"/>
        <v>2145</v>
      </c>
    </row>
    <row r="29" spans="1:31" x14ac:dyDescent="0.25">
      <c r="A29" s="8">
        <v>2040</v>
      </c>
      <c r="B29" s="10">
        <f t="shared" si="6"/>
        <v>461</v>
      </c>
      <c r="C29" s="10">
        <f t="shared" si="12"/>
        <v>3196</v>
      </c>
      <c r="D29" s="10">
        <f t="shared" si="13"/>
        <v>1104</v>
      </c>
      <c r="E29" s="10">
        <f t="shared" si="14"/>
        <v>1412</v>
      </c>
      <c r="F29" s="10">
        <f t="shared" si="15"/>
        <v>1872</v>
      </c>
      <c r="G29" s="10">
        <f t="shared" si="16"/>
        <v>1912</v>
      </c>
      <c r="H29" s="10">
        <f t="shared" si="17"/>
        <v>9957</v>
      </c>
      <c r="I29" s="10">
        <f t="shared" si="4"/>
        <v>434</v>
      </c>
      <c r="J29" s="10">
        <f t="shared" si="18"/>
        <v>2990</v>
      </c>
      <c r="K29" s="10">
        <f t="shared" si="19"/>
        <v>1039</v>
      </c>
      <c r="L29" s="10">
        <f t="shared" si="20"/>
        <v>1298</v>
      </c>
      <c r="M29" s="10">
        <f t="shared" si="21"/>
        <v>1337</v>
      </c>
      <c r="N29" s="10">
        <f t="shared" si="22"/>
        <v>1656</v>
      </c>
      <c r="O29" s="10">
        <f t="shared" si="23"/>
        <v>2522</v>
      </c>
      <c r="P29" s="10">
        <f t="shared" si="24"/>
        <v>2522</v>
      </c>
      <c r="Q29" s="10">
        <f t="shared" si="5"/>
        <v>1386</v>
      </c>
      <c r="R29" s="10">
        <f t="shared" si="25"/>
        <v>4011</v>
      </c>
      <c r="S29" s="10">
        <f t="shared" si="26"/>
        <v>1258</v>
      </c>
      <c r="T29" s="10">
        <f t="shared" si="27"/>
        <v>1522</v>
      </c>
      <c r="U29" s="10">
        <f t="shared" si="28"/>
        <v>1954</v>
      </c>
      <c r="V29" s="10">
        <f t="shared" si="28"/>
        <v>1954</v>
      </c>
      <c r="W29" s="10">
        <f t="shared" si="29"/>
        <v>12085</v>
      </c>
      <c r="X29" s="10">
        <f t="shared" si="30"/>
        <v>0.99</v>
      </c>
      <c r="Z29" s="14">
        <f t="shared" si="7"/>
        <v>5044</v>
      </c>
      <c r="AA29" s="14">
        <f t="shared" si="8"/>
        <v>3784</v>
      </c>
      <c r="AB29" s="14">
        <f t="shared" si="9"/>
        <v>2516</v>
      </c>
      <c r="AC29" s="14">
        <f t="shared" si="10"/>
        <v>3657</v>
      </c>
      <c r="AE29">
        <f t="shared" si="11"/>
        <v>2128</v>
      </c>
    </row>
    <row r="30" spans="1:31" x14ac:dyDescent="0.25">
      <c r="A30" s="8">
        <v>2041</v>
      </c>
      <c r="B30" s="10">
        <f t="shared" si="6"/>
        <v>457</v>
      </c>
      <c r="C30" s="10">
        <f t="shared" si="12"/>
        <v>3169</v>
      </c>
      <c r="D30" s="10">
        <f t="shared" si="13"/>
        <v>1094</v>
      </c>
      <c r="E30" s="10">
        <f t="shared" si="14"/>
        <v>1400</v>
      </c>
      <c r="F30" s="10">
        <f t="shared" si="15"/>
        <v>1856</v>
      </c>
      <c r="G30" s="10">
        <f t="shared" si="16"/>
        <v>1895</v>
      </c>
      <c r="H30" s="10">
        <f t="shared" si="17"/>
        <v>9871</v>
      </c>
      <c r="I30" s="10">
        <f t="shared" si="4"/>
        <v>430</v>
      </c>
      <c r="J30" s="10">
        <f t="shared" si="18"/>
        <v>2964</v>
      </c>
      <c r="K30" s="10">
        <f t="shared" si="19"/>
        <v>1029</v>
      </c>
      <c r="L30" s="10">
        <f t="shared" si="20"/>
        <v>1287</v>
      </c>
      <c r="M30" s="10">
        <f t="shared" si="21"/>
        <v>1325</v>
      </c>
      <c r="N30" s="10">
        <f t="shared" si="22"/>
        <v>1641</v>
      </c>
      <c r="O30" s="10">
        <f t="shared" si="23"/>
        <v>2500</v>
      </c>
      <c r="P30" s="10">
        <f t="shared" si="24"/>
        <v>2500</v>
      </c>
      <c r="Q30" s="10">
        <f t="shared" si="5"/>
        <v>1373</v>
      </c>
      <c r="R30" s="10">
        <f t="shared" si="25"/>
        <v>3976</v>
      </c>
      <c r="S30" s="10">
        <f t="shared" si="26"/>
        <v>1246</v>
      </c>
      <c r="T30" s="10">
        <f t="shared" si="27"/>
        <v>1508</v>
      </c>
      <c r="U30" s="10">
        <f t="shared" si="28"/>
        <v>1936</v>
      </c>
      <c r="V30" s="10">
        <f t="shared" si="28"/>
        <v>1936</v>
      </c>
      <c r="W30" s="10">
        <f t="shared" si="29"/>
        <v>11975</v>
      </c>
      <c r="X30" s="10">
        <f t="shared" si="30"/>
        <v>0.99</v>
      </c>
      <c r="Z30" s="14">
        <f t="shared" si="7"/>
        <v>5000</v>
      </c>
      <c r="AA30" s="14">
        <f t="shared" si="8"/>
        <v>3751</v>
      </c>
      <c r="AB30" s="14">
        <f t="shared" si="9"/>
        <v>2494</v>
      </c>
      <c r="AC30" s="14">
        <f t="shared" si="10"/>
        <v>3626</v>
      </c>
      <c r="AE30">
        <f t="shared" si="11"/>
        <v>2104</v>
      </c>
    </row>
    <row r="31" spans="1:31" x14ac:dyDescent="0.25">
      <c r="A31" s="8">
        <v>2042</v>
      </c>
      <c r="B31" s="10">
        <f t="shared" si="6"/>
        <v>453</v>
      </c>
      <c r="C31" s="10">
        <f t="shared" si="12"/>
        <v>3141</v>
      </c>
      <c r="D31" s="10">
        <f t="shared" si="13"/>
        <v>1084</v>
      </c>
      <c r="E31" s="10">
        <f t="shared" si="14"/>
        <v>1387</v>
      </c>
      <c r="F31" s="10">
        <f t="shared" si="15"/>
        <v>1839</v>
      </c>
      <c r="G31" s="10">
        <f t="shared" si="16"/>
        <v>1878</v>
      </c>
      <c r="H31" s="10">
        <f t="shared" si="17"/>
        <v>9782</v>
      </c>
      <c r="I31" s="10">
        <f t="shared" si="4"/>
        <v>426</v>
      </c>
      <c r="J31" s="10">
        <f t="shared" si="18"/>
        <v>2938</v>
      </c>
      <c r="K31" s="10">
        <f t="shared" si="19"/>
        <v>1020</v>
      </c>
      <c r="L31" s="10">
        <f t="shared" si="20"/>
        <v>1275</v>
      </c>
      <c r="M31" s="10">
        <f t="shared" si="21"/>
        <v>1313</v>
      </c>
      <c r="N31" s="10">
        <f t="shared" si="22"/>
        <v>1626</v>
      </c>
      <c r="O31" s="10">
        <f t="shared" si="23"/>
        <v>2478</v>
      </c>
      <c r="P31" s="10">
        <f t="shared" si="24"/>
        <v>2478</v>
      </c>
      <c r="Q31" s="10">
        <f t="shared" si="5"/>
        <v>1360</v>
      </c>
      <c r="R31" s="10">
        <f t="shared" si="25"/>
        <v>3941</v>
      </c>
      <c r="S31" s="10">
        <f t="shared" si="26"/>
        <v>1235</v>
      </c>
      <c r="T31" s="10">
        <f t="shared" si="27"/>
        <v>1495</v>
      </c>
      <c r="U31" s="10">
        <f t="shared" si="28"/>
        <v>1919</v>
      </c>
      <c r="V31" s="10">
        <f t="shared" si="28"/>
        <v>1919</v>
      </c>
      <c r="W31" s="10">
        <f t="shared" si="29"/>
        <v>11869</v>
      </c>
      <c r="X31" s="10">
        <f t="shared" si="30"/>
        <v>0.99</v>
      </c>
      <c r="Z31" s="14">
        <f t="shared" si="7"/>
        <v>4956</v>
      </c>
      <c r="AA31" s="14">
        <f t="shared" si="8"/>
        <v>3717</v>
      </c>
      <c r="AB31" s="14">
        <f t="shared" si="9"/>
        <v>2471</v>
      </c>
      <c r="AC31" s="14">
        <f t="shared" si="10"/>
        <v>3594</v>
      </c>
      <c r="AE31">
        <f t="shared" si="11"/>
        <v>2087</v>
      </c>
    </row>
    <row r="32" spans="1:31" x14ac:dyDescent="0.25">
      <c r="A32" s="8">
        <v>2043</v>
      </c>
      <c r="B32" s="10">
        <f t="shared" si="6"/>
        <v>449</v>
      </c>
      <c r="C32" s="10">
        <f t="shared" si="12"/>
        <v>3113</v>
      </c>
      <c r="D32" s="10">
        <f t="shared" si="13"/>
        <v>1074</v>
      </c>
      <c r="E32" s="10">
        <f t="shared" si="14"/>
        <v>1375</v>
      </c>
      <c r="F32" s="10">
        <f t="shared" si="15"/>
        <v>1823</v>
      </c>
      <c r="G32" s="10">
        <f t="shared" si="16"/>
        <v>1861</v>
      </c>
      <c r="H32" s="10">
        <f t="shared" si="17"/>
        <v>9695</v>
      </c>
      <c r="I32" s="10">
        <f t="shared" si="4"/>
        <v>422</v>
      </c>
      <c r="J32" s="10">
        <f t="shared" si="18"/>
        <v>2912</v>
      </c>
      <c r="K32" s="10">
        <f t="shared" si="19"/>
        <v>1010</v>
      </c>
      <c r="L32" s="10">
        <f t="shared" si="20"/>
        <v>1264</v>
      </c>
      <c r="M32" s="10">
        <f t="shared" si="21"/>
        <v>1302</v>
      </c>
      <c r="N32" s="10">
        <f t="shared" si="22"/>
        <v>1612</v>
      </c>
      <c r="O32" s="10">
        <f t="shared" si="23"/>
        <v>2456</v>
      </c>
      <c r="P32" s="10">
        <f t="shared" si="24"/>
        <v>2456</v>
      </c>
      <c r="Q32" s="10">
        <f t="shared" si="5"/>
        <v>1347</v>
      </c>
      <c r="R32" s="10">
        <f t="shared" si="25"/>
        <v>3906</v>
      </c>
      <c r="S32" s="10">
        <f t="shared" si="26"/>
        <v>1225</v>
      </c>
      <c r="T32" s="10">
        <f t="shared" si="27"/>
        <v>1482</v>
      </c>
      <c r="U32" s="10">
        <f t="shared" si="28"/>
        <v>1902</v>
      </c>
      <c r="V32" s="10">
        <f t="shared" si="28"/>
        <v>1902</v>
      </c>
      <c r="W32" s="10">
        <f t="shared" si="29"/>
        <v>11764</v>
      </c>
      <c r="X32" s="10">
        <f t="shared" si="30"/>
        <v>0.99</v>
      </c>
      <c r="Z32" s="14">
        <f t="shared" si="7"/>
        <v>4912</v>
      </c>
      <c r="AA32" s="14">
        <f t="shared" si="8"/>
        <v>3684</v>
      </c>
      <c r="AB32" s="14">
        <f t="shared" si="9"/>
        <v>2449</v>
      </c>
      <c r="AC32" s="14">
        <f t="shared" si="10"/>
        <v>3562</v>
      </c>
      <c r="AE32">
        <f t="shared" si="11"/>
        <v>2069</v>
      </c>
    </row>
    <row r="33" spans="31:31" x14ac:dyDescent="0.25">
      <c r="AE33">
        <f t="shared" si="11"/>
        <v>0</v>
      </c>
    </row>
    <row r="59" spans="1:3" x14ac:dyDescent="0.25">
      <c r="A59" s="1" t="s">
        <v>56</v>
      </c>
      <c r="B59" s="1" t="s">
        <v>63</v>
      </c>
      <c r="C59" s="1" t="s">
        <v>62</v>
      </c>
    </row>
    <row r="60" spans="1:3" x14ac:dyDescent="0.25">
      <c r="A60" s="1" t="s">
        <v>55</v>
      </c>
      <c r="B60" s="1">
        <f>B61/(B62*B63)*(1+B64+(B64*B65))</f>
        <v>14654.63637537111</v>
      </c>
      <c r="C60" s="11" t="s">
        <v>65</v>
      </c>
    </row>
    <row r="61" spans="1:3" x14ac:dyDescent="0.25">
      <c r="A61" s="1" t="s">
        <v>57</v>
      </c>
      <c r="B61" s="1">
        <f>O3</f>
        <v>1778.22</v>
      </c>
      <c r="C61" s="1" t="s">
        <v>64</v>
      </c>
    </row>
    <row r="62" spans="1:3" x14ac:dyDescent="0.25">
      <c r="A62" s="1" t="s">
        <v>58</v>
      </c>
      <c r="B62" s="1">
        <f>1-0.39</f>
        <v>0.61</v>
      </c>
      <c r="C62" s="11" t="s">
        <v>67</v>
      </c>
    </row>
    <row r="63" spans="1:3" x14ac:dyDescent="0.25">
      <c r="A63" s="1" t="s">
        <v>59</v>
      </c>
      <c r="B63" s="1">
        <f>0.381/(0.381+0.331+0.133)</f>
        <v>0.45088757396449708</v>
      </c>
      <c r="C63" s="11" t="s">
        <v>67</v>
      </c>
    </row>
    <row r="64" spans="1:3" x14ac:dyDescent="0.25">
      <c r="A64" s="1" t="s">
        <v>60</v>
      </c>
      <c r="B64" s="1">
        <f>B4</f>
        <v>0.6</v>
      </c>
      <c r="C64" s="1" t="s">
        <v>66</v>
      </c>
    </row>
    <row r="65" spans="1:3" x14ac:dyDescent="0.25">
      <c r="A65" s="1" t="s">
        <v>61</v>
      </c>
      <c r="B65" s="1">
        <f>B6/B66</f>
        <v>1.1111111111111109</v>
      </c>
    </row>
    <row r="66" spans="1:3" x14ac:dyDescent="0.25">
      <c r="B66" s="1">
        <f>B5*B4</f>
        <v>0.27</v>
      </c>
      <c r="C66" s="1" t="s">
        <v>68</v>
      </c>
    </row>
  </sheetData>
  <hyperlinks>
    <hyperlink ref="C60" r:id="rId1" xr:uid="{FD11B57A-3D80-4942-8A41-3A50176C8116}"/>
    <hyperlink ref="C62" r:id="rId2" xr:uid="{2FF87A9D-83CE-45F1-AD9E-033A1FF2A55D}"/>
    <hyperlink ref="C63" r:id="rId3" xr:uid="{88A2D69E-2141-4EFE-9CFD-A0D26FE0C03C}"/>
  </hyperlinks>
  <pageMargins left="0.7" right="0.7" top="0.75" bottom="0.75" header="0.3" footer="0.3"/>
  <pageSetup orientation="portrait" r:id="rId4"/>
  <drawing r:id="rId5"/>
  <legacy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90DA5-95F9-4708-932E-5CEB5E2FADF2}">
  <dimension ref="A1:AE66"/>
  <sheetViews>
    <sheetView tabSelected="1" zoomScale="90" zoomScaleNormal="90" workbookViewId="0">
      <selection activeCell="B5" sqref="B5"/>
    </sheetView>
  </sheetViews>
  <sheetFormatPr defaultColWidth="9.140625" defaultRowHeight="15" x14ac:dyDescent="0.25"/>
  <cols>
    <col min="1" max="1" width="35.85546875" style="1" customWidth="1"/>
    <col min="2" max="2" width="15.85546875" style="1" customWidth="1"/>
    <col min="3" max="3" width="18.85546875" style="1" customWidth="1"/>
    <col min="4" max="4" width="20.42578125" style="1" customWidth="1"/>
    <col min="5" max="5" width="15.85546875" style="1" customWidth="1"/>
    <col min="6" max="6" width="18.5703125" style="1" customWidth="1"/>
    <col min="7" max="7" width="19" style="1" customWidth="1"/>
    <col min="8" max="8" width="13" style="1" customWidth="1"/>
    <col min="9" max="9" width="14" style="1" customWidth="1"/>
    <col min="10" max="10" width="15.42578125" style="1" customWidth="1"/>
    <col min="11" max="11" width="12.85546875" style="1" customWidth="1"/>
    <col min="12" max="12" width="15.140625" style="1" customWidth="1"/>
    <col min="13" max="13" width="16.5703125" style="1" customWidth="1"/>
    <col min="14" max="14" width="17.5703125" style="1" customWidth="1"/>
    <col min="15" max="15" width="15.85546875" style="1" customWidth="1"/>
    <col min="16" max="16" width="15.5703125" style="1" customWidth="1"/>
    <col min="17" max="17" width="17.7109375" style="1" customWidth="1"/>
    <col min="18" max="18" width="16.7109375" style="1" customWidth="1"/>
    <col min="19" max="19" width="17" style="1" customWidth="1"/>
    <col min="20" max="20" width="14.7109375" style="1" customWidth="1"/>
    <col min="21" max="21" width="17.85546875" style="1" customWidth="1"/>
    <col min="22" max="16384" width="9.140625" style="1"/>
  </cols>
  <sheetData>
    <row r="1" spans="1:31" x14ac:dyDescent="0.25">
      <c r="A1" s="1" t="s">
        <v>53</v>
      </c>
      <c r="B1" s="1" t="s">
        <v>54</v>
      </c>
      <c r="C1" s="1">
        <v>1730</v>
      </c>
      <c r="D1" s="1" t="s">
        <v>77</v>
      </c>
    </row>
    <row r="2" spans="1:31" x14ac:dyDescent="0.25">
      <c r="A2" s="1" t="s">
        <v>52</v>
      </c>
      <c r="B2" s="1">
        <v>2024</v>
      </c>
      <c r="C2" s="15">
        <f>B3/C1</f>
        <v>8.470888078249196</v>
      </c>
      <c r="D2" s="1" t="s">
        <v>78</v>
      </c>
      <c r="E2" s="15">
        <f>H13/C1</f>
        <v>6.6346820809248559</v>
      </c>
      <c r="F2" s="1" t="s">
        <v>79</v>
      </c>
      <c r="K2" s="1" t="s">
        <v>0</v>
      </c>
      <c r="L2" s="1" t="s">
        <v>1</v>
      </c>
      <c r="M2" s="1" t="s">
        <v>2</v>
      </c>
      <c r="O2" s="1" t="s">
        <v>3</v>
      </c>
      <c r="P2" s="1" t="s">
        <v>4</v>
      </c>
      <c r="Q2" s="1" t="s">
        <v>72</v>
      </c>
      <c r="S2" s="15" t="s">
        <v>80</v>
      </c>
    </row>
    <row r="3" spans="1:31" x14ac:dyDescent="0.25">
      <c r="A3" s="2" t="s">
        <v>5</v>
      </c>
      <c r="B3" s="12">
        <f>B60</f>
        <v>14654.63637537111</v>
      </c>
      <c r="I3" s="1">
        <v>0.115</v>
      </c>
      <c r="J3" s="2" t="s">
        <v>6</v>
      </c>
      <c r="K3" s="3">
        <v>0.115</v>
      </c>
      <c r="L3" s="4">
        <f>LN(1-K3)</f>
        <v>-0.12216763397420753</v>
      </c>
      <c r="M3" s="4">
        <f>1-EXP(L3*0.5)</f>
        <v>5.9255613888661074E-2</v>
      </c>
      <c r="O3" s="3">
        <f>Q3-O5</f>
        <v>1778.22</v>
      </c>
      <c r="P3" s="4">
        <f>ROUND((O3/F5),2)</f>
        <v>0.67</v>
      </c>
      <c r="Q3" s="1">
        <v>1998</v>
      </c>
      <c r="R3" s="1">
        <f>Q3+Q4</f>
        <v>3179</v>
      </c>
      <c r="S3" s="16">
        <f>B3*67</f>
        <v>981860.63714986434</v>
      </c>
      <c r="T3" s="1" t="s">
        <v>81</v>
      </c>
    </row>
    <row r="4" spans="1:31" x14ac:dyDescent="0.25">
      <c r="A4" s="2" t="s">
        <v>7</v>
      </c>
      <c r="B4" s="13">
        <v>0.6</v>
      </c>
      <c r="C4" s="1" t="s">
        <v>8</v>
      </c>
      <c r="F4" s="1" t="s">
        <v>9</v>
      </c>
      <c r="G4" s="1" t="s">
        <v>10</v>
      </c>
      <c r="I4" s="1">
        <v>0.125</v>
      </c>
      <c r="J4" s="2" t="s">
        <v>11</v>
      </c>
      <c r="K4" s="3">
        <v>0.125</v>
      </c>
      <c r="L4" s="4">
        <f t="shared" ref="L4:L9" si="0">LN(1-K4)</f>
        <v>-0.13353139262452263</v>
      </c>
      <c r="M4" s="4">
        <f t="shared" ref="M4:M9" si="1">1-EXP(L4*0.5)</f>
        <v>6.4585653306514668E-2</v>
      </c>
      <c r="O4" s="3">
        <f>(Q4-(O6+O7+O8))</f>
        <v>826.7</v>
      </c>
      <c r="P4" s="4">
        <f>ROUND((O4/G5),2)</f>
        <v>0.21</v>
      </c>
      <c r="Q4" s="1">
        <v>1181</v>
      </c>
      <c r="S4" s="16">
        <f>H13*67</f>
        <v>769026</v>
      </c>
      <c r="T4" s="1" t="s">
        <v>82</v>
      </c>
    </row>
    <row r="5" spans="1:31" x14ac:dyDescent="0.25">
      <c r="A5" s="2" t="s">
        <v>12</v>
      </c>
      <c r="B5" s="13">
        <v>0.45</v>
      </c>
      <c r="D5" s="5" t="s">
        <v>13</v>
      </c>
      <c r="E5" s="4">
        <f>ROUND((B3*B5),0)</f>
        <v>6595</v>
      </c>
      <c r="F5" s="4">
        <f>ROUND(E5*(1-$B$4),0)</f>
        <v>2638</v>
      </c>
      <c r="G5" s="4">
        <f>ROUND((E5*$B$4),0)</f>
        <v>3957</v>
      </c>
      <c r="I5" s="1">
        <v>0.115</v>
      </c>
      <c r="J5" s="2" t="s">
        <v>14</v>
      </c>
      <c r="K5" s="3">
        <v>0.115</v>
      </c>
      <c r="L5" s="4">
        <f t="shared" si="0"/>
        <v>-0.12216763397420753</v>
      </c>
      <c r="M5" s="4">
        <f t="shared" si="1"/>
        <v>5.9255613888661074E-2</v>
      </c>
      <c r="O5" s="3">
        <f>(Q3*0.11)</f>
        <v>219.78</v>
      </c>
      <c r="P5" s="4">
        <f>ROUND((O5/F6),2)</f>
        <v>0.13</v>
      </c>
      <c r="Q5" s="1" t="s">
        <v>69</v>
      </c>
    </row>
    <row r="6" spans="1:31" x14ac:dyDescent="0.25">
      <c r="A6" s="2" t="s">
        <v>15</v>
      </c>
      <c r="B6" s="13">
        <v>0.3</v>
      </c>
      <c r="D6" s="5" t="s">
        <v>16</v>
      </c>
      <c r="E6" s="4">
        <f>ROUND((B3*B6),0)</f>
        <v>4396</v>
      </c>
      <c r="F6" s="4">
        <f t="shared" ref="F6:F7" si="2">ROUND(E6*(1-$B$4),0)</f>
        <v>1758</v>
      </c>
      <c r="G6" s="4">
        <f t="shared" ref="G6:G7" si="3">ROUND((E6*$B$4),0)</f>
        <v>2638</v>
      </c>
      <c r="I6" s="1">
        <v>0</v>
      </c>
      <c r="J6" s="2" t="s">
        <v>17</v>
      </c>
      <c r="K6" s="3">
        <v>0.155</v>
      </c>
      <c r="L6" s="4">
        <f t="shared" si="0"/>
        <v>-0.16841865162496325</v>
      </c>
      <c r="M6" s="4">
        <f t="shared" si="1"/>
        <v>8.0761184457488255E-2</v>
      </c>
      <c r="O6" s="3">
        <f>(Q4*0.18)</f>
        <v>212.57999999999998</v>
      </c>
      <c r="P6" s="4">
        <f>ROUND((O6/G6),2)</f>
        <v>0.08</v>
      </c>
      <c r="Q6" s="1" t="s">
        <v>70</v>
      </c>
    </row>
    <row r="7" spans="1:31" x14ac:dyDescent="0.25">
      <c r="A7" s="6" t="s">
        <v>18</v>
      </c>
      <c r="B7" s="7">
        <f>(1 - (B5 + B6))</f>
        <v>0.25</v>
      </c>
      <c r="D7" s="5" t="s">
        <v>19</v>
      </c>
      <c r="E7" s="4">
        <f>ROUND((B3*B7),0)</f>
        <v>3664</v>
      </c>
      <c r="F7" s="4">
        <f t="shared" si="2"/>
        <v>1466</v>
      </c>
      <c r="G7" s="4">
        <f t="shared" si="3"/>
        <v>2198</v>
      </c>
      <c r="I7" s="1">
        <v>0.49</v>
      </c>
      <c r="J7" s="2" t="s">
        <v>20</v>
      </c>
      <c r="K7" s="3">
        <v>0.49</v>
      </c>
      <c r="L7" s="4">
        <f t="shared" si="0"/>
        <v>-0.67334455326376563</v>
      </c>
      <c r="M7" s="4">
        <f t="shared" si="1"/>
        <v>0.28585715714571502</v>
      </c>
      <c r="O7" s="3">
        <f>(Q4*0.12)/2</f>
        <v>70.86</v>
      </c>
      <c r="P7" s="4">
        <f>ROUND((O7/F7),2)</f>
        <v>0.05</v>
      </c>
      <c r="Q7" s="1" t="s">
        <v>71</v>
      </c>
    </row>
    <row r="8" spans="1:31" x14ac:dyDescent="0.25">
      <c r="A8" s="2" t="s">
        <v>21</v>
      </c>
      <c r="B8" s="3">
        <v>1.6</v>
      </c>
      <c r="C8" s="1" t="s">
        <v>22</v>
      </c>
      <c r="I8" s="1">
        <v>0.42499999999999999</v>
      </c>
      <c r="J8" s="2" t="s">
        <v>23</v>
      </c>
      <c r="K8" s="3">
        <v>0.25</v>
      </c>
      <c r="L8" s="4">
        <f t="shared" si="0"/>
        <v>-0.2876820724517809</v>
      </c>
      <c r="M8" s="4">
        <f t="shared" si="1"/>
        <v>0.13397459621556129</v>
      </c>
      <c r="O8" s="3">
        <f>(Q4*0.12)/2</f>
        <v>70.86</v>
      </c>
      <c r="P8" s="4">
        <f>ROUND((O8/G7),2)</f>
        <v>0.03</v>
      </c>
    </row>
    <row r="9" spans="1:31" x14ac:dyDescent="0.25">
      <c r="A9" s="2" t="s">
        <v>24</v>
      </c>
      <c r="B9" s="3">
        <v>0.2</v>
      </c>
      <c r="C9" s="1" t="s">
        <v>25</v>
      </c>
      <c r="J9" s="2" t="s">
        <v>26</v>
      </c>
      <c r="K9" s="3">
        <v>0.4</v>
      </c>
      <c r="L9" s="4">
        <f t="shared" si="0"/>
        <v>-0.51082562376599072</v>
      </c>
      <c r="M9" s="4">
        <f t="shared" si="1"/>
        <v>0.2254033307585166</v>
      </c>
      <c r="O9" s="1">
        <v>0</v>
      </c>
    </row>
    <row r="12" spans="1:31" customFormat="1" x14ac:dyDescent="0.25">
      <c r="A12" t="s">
        <v>27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 t="s">
        <v>33</v>
      </c>
      <c r="H12" t="s">
        <v>34</v>
      </c>
      <c r="I12" t="s">
        <v>35</v>
      </c>
      <c r="J12" t="s">
        <v>36</v>
      </c>
      <c r="K12" t="s">
        <v>37</v>
      </c>
      <c r="L12" t="s">
        <v>38</v>
      </c>
      <c r="M12" t="s">
        <v>39</v>
      </c>
      <c r="N12" t="s">
        <v>40</v>
      </c>
      <c r="O12" t="s">
        <v>41</v>
      </c>
      <c r="P12" t="s">
        <v>42</v>
      </c>
      <c r="Q12" t="s">
        <v>43</v>
      </c>
      <c r="R12" t="s">
        <v>44</v>
      </c>
      <c r="S12" t="s">
        <v>45</v>
      </c>
      <c r="T12" t="s">
        <v>46</v>
      </c>
      <c r="U12" t="s">
        <v>47</v>
      </c>
      <c r="V12" t="s">
        <v>48</v>
      </c>
      <c r="W12" t="s">
        <v>49</v>
      </c>
      <c r="X12" t="s">
        <v>50</v>
      </c>
      <c r="Z12" t="s">
        <v>75</v>
      </c>
      <c r="AA12" t="s">
        <v>73</v>
      </c>
      <c r="AB12" t="s">
        <v>74</v>
      </c>
      <c r="AC12" t="s">
        <v>76</v>
      </c>
      <c r="AE12" t="s">
        <v>87</v>
      </c>
    </row>
    <row r="13" spans="1:31" customFormat="1" x14ac:dyDescent="0.25">
      <c r="A13" s="8">
        <v>2024</v>
      </c>
      <c r="B13" s="8">
        <f>ROUND((F5 -(F5*P3)),0)</f>
        <v>871</v>
      </c>
      <c r="C13" s="8">
        <f>ROUND((G5 - (G5*P4)),0)</f>
        <v>3126</v>
      </c>
      <c r="D13" s="8">
        <f>ROUND((F6 - (F6*P5)),0)</f>
        <v>1529</v>
      </c>
      <c r="E13" s="8">
        <f>ROUND((G6-(G6*P6)),0)</f>
        <v>2427</v>
      </c>
      <c r="F13" s="8">
        <f>ROUND((F7 - (F7*P7)),0)</f>
        <v>1393</v>
      </c>
      <c r="G13" s="8">
        <f>ROUND((G7 - (G7*P8)),0)</f>
        <v>2132</v>
      </c>
      <c r="H13" s="8">
        <f>(B13+C13+D13+E13+F13+G13)</f>
        <v>11478</v>
      </c>
      <c r="I13" s="8">
        <f t="shared" ref="I13:I32" si="4">ROUND((B13-(B13*$M$3)),0)</f>
        <v>819</v>
      </c>
      <c r="J13" s="8">
        <f>ROUND((C13-(C13*$M$4)),0)</f>
        <v>2924</v>
      </c>
      <c r="K13" s="8">
        <f>ROUND((D13-(D13*$M$5)),0)</f>
        <v>1438</v>
      </c>
      <c r="L13" s="8">
        <f>ROUND((E13-(E13*$M$6)),0)</f>
        <v>2231</v>
      </c>
      <c r="M13" s="8">
        <f>ROUND((F13-(F13*$M$7)),0)</f>
        <v>995</v>
      </c>
      <c r="N13" s="8">
        <f>ROUND((G13-(G13*$M$8)),0)</f>
        <v>1846</v>
      </c>
      <c r="O13" s="8">
        <f>ROUND((((J13*$B$8) + (L13*$B$9))/2),0)</f>
        <v>2562</v>
      </c>
      <c r="P13" s="8">
        <f>O13</f>
        <v>2562</v>
      </c>
      <c r="Q13" s="8">
        <f t="shared" ref="Q13:Q32" si="5">ROUND(((I13+K13) - ((I13+K13)*$M$3)),0)</f>
        <v>2123</v>
      </c>
      <c r="R13" s="8">
        <f>ROUND(((J13+L13) - ((J13+L13)*$M$4)),0)</f>
        <v>4822</v>
      </c>
      <c r="S13" s="8">
        <f>ROUND((M13-(M13*$M$5)),0)</f>
        <v>936</v>
      </c>
      <c r="T13" s="8">
        <f>ROUND((N13-(N13*$M$6)),0)</f>
        <v>1697</v>
      </c>
      <c r="U13" s="8">
        <f>ROUND((O13-(O13*$M$9)),0)</f>
        <v>1985</v>
      </c>
      <c r="V13" s="8">
        <f>ROUND((P13-(P13*$M$9)),0)</f>
        <v>1985</v>
      </c>
      <c r="W13" s="8">
        <f>Q13+R13+S13+T13+U13+V13</f>
        <v>13548</v>
      </c>
      <c r="X13" s="8" t="s">
        <v>51</v>
      </c>
      <c r="Z13" s="14">
        <f>SUM(O13,P13)</f>
        <v>5124</v>
      </c>
      <c r="AA13" s="14">
        <f>SUM(F13,G13)</f>
        <v>3525</v>
      </c>
      <c r="AB13" s="14">
        <f>SUM(D13,E13)</f>
        <v>3956</v>
      </c>
      <c r="AC13" s="14">
        <f>SUM(B13,C13)</f>
        <v>3997</v>
      </c>
      <c r="AE13">
        <f>W13-H13</f>
        <v>2070</v>
      </c>
    </row>
    <row r="14" spans="1:31" customFormat="1" x14ac:dyDescent="0.25">
      <c r="A14" s="8">
        <v>2025</v>
      </c>
      <c r="B14" s="9">
        <f t="shared" ref="B14:B32" si="6">ROUND((Q13-(Q13*$P$3)),0)</f>
        <v>701</v>
      </c>
      <c r="C14" s="9">
        <f>ROUND((R13-(R13*$P$4)),0)</f>
        <v>3809</v>
      </c>
      <c r="D14" s="9">
        <f>ROUND((S13-(S13*$P$5)),0)</f>
        <v>814</v>
      </c>
      <c r="E14" s="9">
        <f>ROUND((T13-(T13*$P$6)),0)</f>
        <v>1561</v>
      </c>
      <c r="F14" s="9">
        <f>ROUND((U13-(U13*$P$7)),0)</f>
        <v>1886</v>
      </c>
      <c r="G14" s="9">
        <f>ROUND((V13-(V13*$P$8)),0)</f>
        <v>1925</v>
      </c>
      <c r="H14" s="9">
        <f>(B14+C14+D14+E14+F14+G14)</f>
        <v>10696</v>
      </c>
      <c r="I14" s="9">
        <f t="shared" si="4"/>
        <v>659</v>
      </c>
      <c r="J14" s="9">
        <f>ROUND((C14-(C14*$M$4)),0)</f>
        <v>3563</v>
      </c>
      <c r="K14" s="9">
        <f>ROUND((D14-(D14*$M$5)),0)</f>
        <v>766</v>
      </c>
      <c r="L14" s="9">
        <f>ROUND((E14-(E14*$M$6)),0)</f>
        <v>1435</v>
      </c>
      <c r="M14" s="9">
        <f>ROUND((F14-(F14*$M$7)),0)</f>
        <v>1347</v>
      </c>
      <c r="N14" s="9">
        <f>ROUND((G14-(G14*$M$8)),0)</f>
        <v>1667</v>
      </c>
      <c r="O14" s="9">
        <f>ROUND((((J14*$B$8) + (L14*$B$9))/2),0)</f>
        <v>2994</v>
      </c>
      <c r="P14" s="9">
        <f>O14</f>
        <v>2994</v>
      </c>
      <c r="Q14" s="9">
        <f t="shared" si="5"/>
        <v>1341</v>
      </c>
      <c r="R14" s="9">
        <f>ROUND(((J14+L14) - ((J14+L14)*$M$4)),0)</f>
        <v>4675</v>
      </c>
      <c r="S14" s="9">
        <f>ROUND((M14-(M14*$M$5)),0)</f>
        <v>1267</v>
      </c>
      <c r="T14" s="9">
        <f>ROUND((N14-(N14*$M$6)),0)</f>
        <v>1532</v>
      </c>
      <c r="U14" s="9">
        <f>ROUND((O14-(O14*$M$9)),0)</f>
        <v>2319</v>
      </c>
      <c r="V14" s="9">
        <f>ROUND((P14-(P14*$M$9)),0)</f>
        <v>2319</v>
      </c>
      <c r="W14" s="9">
        <f>Q14+R14+S14+T14+U14+V14</f>
        <v>13453</v>
      </c>
      <c r="X14" s="9">
        <f>ROUND((W14/W13),2)</f>
        <v>0.99</v>
      </c>
      <c r="Z14" s="14">
        <f t="shared" ref="Z14:Z32" si="7">SUM(O14,P14)</f>
        <v>5988</v>
      </c>
      <c r="AA14" s="14">
        <f t="shared" ref="AA14:AA32" si="8">SUM(F14,G14)</f>
        <v>3811</v>
      </c>
      <c r="AB14" s="14">
        <f t="shared" ref="AB14:AB32" si="9">SUM(D14,E14)</f>
        <v>2375</v>
      </c>
      <c r="AC14" s="14">
        <f t="shared" ref="AC14:AC32" si="10">SUM(B14,C14)</f>
        <v>4510</v>
      </c>
      <c r="AE14">
        <f t="shared" ref="AE14:AE33" si="11">W14-H14</f>
        <v>2757</v>
      </c>
    </row>
    <row r="15" spans="1:31" x14ac:dyDescent="0.25">
      <c r="A15" s="8">
        <v>2026</v>
      </c>
      <c r="B15" s="10">
        <f t="shared" si="6"/>
        <v>443</v>
      </c>
      <c r="C15" s="10">
        <f t="shared" ref="C15:C32" si="12">ROUND((R14-(R14*$P$4)),0)</f>
        <v>3693</v>
      </c>
      <c r="D15" s="10">
        <f t="shared" ref="D15:D32" si="13">ROUND((S14-(S14*$P$5)),0)</f>
        <v>1102</v>
      </c>
      <c r="E15" s="10">
        <f t="shared" ref="E15:E32" si="14">ROUND((T14-(T14*$P$6)),0)</f>
        <v>1409</v>
      </c>
      <c r="F15" s="10">
        <f t="shared" ref="F15:F32" si="15">ROUND((U14-(U14*$P$7)),0)</f>
        <v>2203</v>
      </c>
      <c r="G15" s="10">
        <f t="shared" ref="G15:G32" si="16">ROUND((V14-(V14*$P$8)),0)</f>
        <v>2249</v>
      </c>
      <c r="H15" s="10">
        <f t="shared" ref="H15:H32" si="17">(B15+C15+D15+E15+F15+G15)</f>
        <v>11099</v>
      </c>
      <c r="I15" s="10">
        <f t="shared" si="4"/>
        <v>417</v>
      </c>
      <c r="J15" s="10">
        <f t="shared" ref="J15:J32" si="18">ROUND((C15-(C15*$M$4)),0)</f>
        <v>3454</v>
      </c>
      <c r="K15" s="10">
        <f t="shared" ref="K15:K32" si="19">ROUND((D15-(D15*$M$5)),0)</f>
        <v>1037</v>
      </c>
      <c r="L15" s="10">
        <f t="shared" ref="L15:L32" si="20">ROUND((E15-(E15*$M$6)),0)</f>
        <v>1295</v>
      </c>
      <c r="M15" s="10">
        <f t="shared" ref="M15:M32" si="21">ROUND((F15-(F15*$M$7)),0)</f>
        <v>1573</v>
      </c>
      <c r="N15" s="10">
        <f t="shared" ref="N15:N32" si="22">ROUND((G15-(G15*$M$8)),0)</f>
        <v>1948</v>
      </c>
      <c r="O15" s="10">
        <f t="shared" ref="O15:O32" si="23">ROUND((((J15*$B$8) + (L15*$B$9))/2),0)</f>
        <v>2893</v>
      </c>
      <c r="P15" s="10">
        <f t="shared" ref="P15:P32" si="24">O15</f>
        <v>2893</v>
      </c>
      <c r="Q15" s="10">
        <f t="shared" si="5"/>
        <v>1368</v>
      </c>
      <c r="R15" s="10">
        <f t="shared" ref="R15:R32" si="25">ROUND(((J15+L15) - ((J15+L15)*$M$4)),0)</f>
        <v>4442</v>
      </c>
      <c r="S15" s="10">
        <f t="shared" ref="S15:S32" si="26">ROUND((M15-(M15*$M$5)),0)</f>
        <v>1480</v>
      </c>
      <c r="T15" s="10">
        <f t="shared" ref="T15:T32" si="27">ROUND((N15-(N15*$M$6)),0)</f>
        <v>1791</v>
      </c>
      <c r="U15" s="10">
        <f t="shared" ref="U15:V32" si="28">ROUND((O15-(O15*$M$9)),0)</f>
        <v>2241</v>
      </c>
      <c r="V15" s="10">
        <f t="shared" si="28"/>
        <v>2241</v>
      </c>
      <c r="W15" s="10">
        <f t="shared" ref="W15:W32" si="29">Q15+R15+S15+T15+U15+V15</f>
        <v>13563</v>
      </c>
      <c r="X15" s="10">
        <f t="shared" ref="X15:X32" si="30">ROUND((W15/W14),2)</f>
        <v>1.01</v>
      </c>
      <c r="Z15" s="14">
        <f t="shared" si="7"/>
        <v>5786</v>
      </c>
      <c r="AA15" s="14">
        <f t="shared" si="8"/>
        <v>4452</v>
      </c>
      <c r="AB15" s="14">
        <f t="shared" si="9"/>
        <v>2511</v>
      </c>
      <c r="AC15" s="14">
        <f t="shared" si="10"/>
        <v>4136</v>
      </c>
      <c r="AE15">
        <f t="shared" si="11"/>
        <v>2464</v>
      </c>
    </row>
    <row r="16" spans="1:31" x14ac:dyDescent="0.25">
      <c r="A16" s="8">
        <v>2027</v>
      </c>
      <c r="B16" s="10">
        <f t="shared" si="6"/>
        <v>451</v>
      </c>
      <c r="C16" s="10">
        <f t="shared" si="12"/>
        <v>3509</v>
      </c>
      <c r="D16" s="10">
        <f t="shared" si="13"/>
        <v>1288</v>
      </c>
      <c r="E16" s="10">
        <f t="shared" si="14"/>
        <v>1648</v>
      </c>
      <c r="F16" s="10">
        <f t="shared" si="15"/>
        <v>2129</v>
      </c>
      <c r="G16" s="10">
        <f t="shared" si="16"/>
        <v>2174</v>
      </c>
      <c r="H16" s="10">
        <f t="shared" si="17"/>
        <v>11199</v>
      </c>
      <c r="I16" s="10">
        <f t="shared" si="4"/>
        <v>424</v>
      </c>
      <c r="J16" s="10">
        <f t="shared" si="18"/>
        <v>3282</v>
      </c>
      <c r="K16" s="10">
        <f t="shared" si="19"/>
        <v>1212</v>
      </c>
      <c r="L16" s="10">
        <f t="shared" si="20"/>
        <v>1515</v>
      </c>
      <c r="M16" s="10">
        <f t="shared" si="21"/>
        <v>1520</v>
      </c>
      <c r="N16" s="10">
        <f t="shared" si="22"/>
        <v>1883</v>
      </c>
      <c r="O16" s="10">
        <f t="shared" si="23"/>
        <v>2777</v>
      </c>
      <c r="P16" s="10">
        <f t="shared" si="24"/>
        <v>2777</v>
      </c>
      <c r="Q16" s="10">
        <f t="shared" si="5"/>
        <v>1539</v>
      </c>
      <c r="R16" s="10">
        <f t="shared" si="25"/>
        <v>4487</v>
      </c>
      <c r="S16" s="10">
        <f t="shared" si="26"/>
        <v>1430</v>
      </c>
      <c r="T16" s="10">
        <f t="shared" si="27"/>
        <v>1731</v>
      </c>
      <c r="U16" s="10">
        <f t="shared" si="28"/>
        <v>2151</v>
      </c>
      <c r="V16" s="10">
        <f t="shared" si="28"/>
        <v>2151</v>
      </c>
      <c r="W16" s="10">
        <f t="shared" si="29"/>
        <v>13489</v>
      </c>
      <c r="X16" s="10">
        <f t="shared" si="30"/>
        <v>0.99</v>
      </c>
      <c r="Z16" s="14">
        <f t="shared" si="7"/>
        <v>5554</v>
      </c>
      <c r="AA16" s="14">
        <f t="shared" si="8"/>
        <v>4303</v>
      </c>
      <c r="AB16" s="14">
        <f t="shared" si="9"/>
        <v>2936</v>
      </c>
      <c r="AC16" s="14">
        <f t="shared" si="10"/>
        <v>3960</v>
      </c>
      <c r="AE16">
        <f t="shared" si="11"/>
        <v>2290</v>
      </c>
    </row>
    <row r="17" spans="1:31" x14ac:dyDescent="0.25">
      <c r="A17" s="8">
        <v>2028</v>
      </c>
      <c r="B17" s="10">
        <f t="shared" si="6"/>
        <v>508</v>
      </c>
      <c r="C17" s="10">
        <f t="shared" si="12"/>
        <v>3545</v>
      </c>
      <c r="D17" s="10">
        <f t="shared" si="13"/>
        <v>1244</v>
      </c>
      <c r="E17" s="10">
        <f t="shared" si="14"/>
        <v>1593</v>
      </c>
      <c r="F17" s="10">
        <f t="shared" si="15"/>
        <v>2043</v>
      </c>
      <c r="G17" s="10">
        <f t="shared" si="16"/>
        <v>2086</v>
      </c>
      <c r="H17" s="10">
        <f t="shared" si="17"/>
        <v>11019</v>
      </c>
      <c r="I17" s="10">
        <f t="shared" si="4"/>
        <v>478</v>
      </c>
      <c r="J17" s="10">
        <f t="shared" si="18"/>
        <v>3316</v>
      </c>
      <c r="K17" s="10">
        <f t="shared" si="19"/>
        <v>1170</v>
      </c>
      <c r="L17" s="10">
        <f t="shared" si="20"/>
        <v>1464</v>
      </c>
      <c r="M17" s="10">
        <f t="shared" si="21"/>
        <v>1459</v>
      </c>
      <c r="N17" s="10">
        <f t="shared" si="22"/>
        <v>1807</v>
      </c>
      <c r="O17" s="10">
        <f t="shared" si="23"/>
        <v>2799</v>
      </c>
      <c r="P17" s="10">
        <f t="shared" si="24"/>
        <v>2799</v>
      </c>
      <c r="Q17" s="10">
        <f t="shared" si="5"/>
        <v>1550</v>
      </c>
      <c r="R17" s="10">
        <f t="shared" si="25"/>
        <v>4471</v>
      </c>
      <c r="S17" s="10">
        <f t="shared" si="26"/>
        <v>1373</v>
      </c>
      <c r="T17" s="10">
        <f t="shared" si="27"/>
        <v>1661</v>
      </c>
      <c r="U17" s="10">
        <f t="shared" si="28"/>
        <v>2168</v>
      </c>
      <c r="V17" s="10">
        <f t="shared" si="28"/>
        <v>2168</v>
      </c>
      <c r="W17" s="10">
        <f t="shared" si="29"/>
        <v>13391</v>
      </c>
      <c r="X17" s="10">
        <f t="shared" si="30"/>
        <v>0.99</v>
      </c>
      <c r="Z17" s="14">
        <f t="shared" si="7"/>
        <v>5598</v>
      </c>
      <c r="AA17" s="14">
        <f t="shared" si="8"/>
        <v>4129</v>
      </c>
      <c r="AB17" s="14">
        <f t="shared" si="9"/>
        <v>2837</v>
      </c>
      <c r="AC17" s="14">
        <f t="shared" si="10"/>
        <v>4053</v>
      </c>
      <c r="AE17">
        <f t="shared" si="11"/>
        <v>2372</v>
      </c>
    </row>
    <row r="18" spans="1:31" x14ac:dyDescent="0.25">
      <c r="A18" s="8">
        <v>2029</v>
      </c>
      <c r="B18" s="10">
        <f t="shared" si="6"/>
        <v>512</v>
      </c>
      <c r="C18" s="10">
        <f t="shared" si="12"/>
        <v>3532</v>
      </c>
      <c r="D18" s="10">
        <f t="shared" si="13"/>
        <v>1195</v>
      </c>
      <c r="E18" s="10">
        <f t="shared" si="14"/>
        <v>1528</v>
      </c>
      <c r="F18" s="10">
        <f t="shared" si="15"/>
        <v>2060</v>
      </c>
      <c r="G18" s="10">
        <f t="shared" si="16"/>
        <v>2103</v>
      </c>
      <c r="H18" s="10">
        <f t="shared" si="17"/>
        <v>10930</v>
      </c>
      <c r="I18" s="10">
        <f t="shared" si="4"/>
        <v>482</v>
      </c>
      <c r="J18" s="10">
        <f t="shared" si="18"/>
        <v>3304</v>
      </c>
      <c r="K18" s="10">
        <f t="shared" si="19"/>
        <v>1124</v>
      </c>
      <c r="L18" s="10">
        <f t="shared" si="20"/>
        <v>1405</v>
      </c>
      <c r="M18" s="10">
        <f t="shared" si="21"/>
        <v>1471</v>
      </c>
      <c r="N18" s="10">
        <f t="shared" si="22"/>
        <v>1821</v>
      </c>
      <c r="O18" s="10">
        <f t="shared" si="23"/>
        <v>2784</v>
      </c>
      <c r="P18" s="10">
        <f t="shared" si="24"/>
        <v>2784</v>
      </c>
      <c r="Q18" s="10">
        <f t="shared" si="5"/>
        <v>1511</v>
      </c>
      <c r="R18" s="10">
        <f t="shared" si="25"/>
        <v>4405</v>
      </c>
      <c r="S18" s="10">
        <f t="shared" si="26"/>
        <v>1384</v>
      </c>
      <c r="T18" s="10">
        <f t="shared" si="27"/>
        <v>1674</v>
      </c>
      <c r="U18" s="10">
        <f t="shared" si="28"/>
        <v>2156</v>
      </c>
      <c r="V18" s="10">
        <f t="shared" si="28"/>
        <v>2156</v>
      </c>
      <c r="W18" s="10">
        <f t="shared" si="29"/>
        <v>13286</v>
      </c>
      <c r="X18" s="10">
        <f t="shared" si="30"/>
        <v>0.99</v>
      </c>
      <c r="Z18" s="14">
        <f t="shared" si="7"/>
        <v>5568</v>
      </c>
      <c r="AA18" s="14">
        <f t="shared" si="8"/>
        <v>4163</v>
      </c>
      <c r="AB18" s="14">
        <f t="shared" si="9"/>
        <v>2723</v>
      </c>
      <c r="AC18" s="14">
        <f t="shared" si="10"/>
        <v>4044</v>
      </c>
      <c r="AE18">
        <f t="shared" si="11"/>
        <v>2356</v>
      </c>
    </row>
    <row r="19" spans="1:31" x14ac:dyDescent="0.25">
      <c r="A19" s="8">
        <v>2030</v>
      </c>
      <c r="B19" s="10">
        <f t="shared" si="6"/>
        <v>499</v>
      </c>
      <c r="C19" s="10">
        <f t="shared" si="12"/>
        <v>3480</v>
      </c>
      <c r="D19" s="10">
        <f t="shared" si="13"/>
        <v>1204</v>
      </c>
      <c r="E19" s="10">
        <f t="shared" si="14"/>
        <v>1540</v>
      </c>
      <c r="F19" s="10">
        <f t="shared" si="15"/>
        <v>2048</v>
      </c>
      <c r="G19" s="10">
        <f t="shared" si="16"/>
        <v>2091</v>
      </c>
      <c r="H19" s="10">
        <f t="shared" si="17"/>
        <v>10862</v>
      </c>
      <c r="I19" s="10">
        <f t="shared" si="4"/>
        <v>469</v>
      </c>
      <c r="J19" s="10">
        <f t="shared" si="18"/>
        <v>3255</v>
      </c>
      <c r="K19" s="10">
        <f t="shared" si="19"/>
        <v>1133</v>
      </c>
      <c r="L19" s="10">
        <f t="shared" si="20"/>
        <v>1416</v>
      </c>
      <c r="M19" s="10">
        <f t="shared" si="21"/>
        <v>1463</v>
      </c>
      <c r="N19" s="10">
        <f t="shared" si="22"/>
        <v>1811</v>
      </c>
      <c r="O19" s="10">
        <f t="shared" si="23"/>
        <v>2746</v>
      </c>
      <c r="P19" s="10">
        <f t="shared" si="24"/>
        <v>2746</v>
      </c>
      <c r="Q19" s="10">
        <f t="shared" si="5"/>
        <v>1507</v>
      </c>
      <c r="R19" s="10">
        <f t="shared" si="25"/>
        <v>4369</v>
      </c>
      <c r="S19" s="10">
        <f t="shared" si="26"/>
        <v>1376</v>
      </c>
      <c r="T19" s="10">
        <f t="shared" si="27"/>
        <v>1665</v>
      </c>
      <c r="U19" s="10">
        <f t="shared" si="28"/>
        <v>2127</v>
      </c>
      <c r="V19" s="10">
        <f t="shared" si="28"/>
        <v>2127</v>
      </c>
      <c r="W19" s="10">
        <f t="shared" si="29"/>
        <v>13171</v>
      </c>
      <c r="X19" s="10">
        <f t="shared" si="30"/>
        <v>0.99</v>
      </c>
      <c r="Z19" s="14">
        <f t="shared" si="7"/>
        <v>5492</v>
      </c>
      <c r="AA19" s="14">
        <f t="shared" si="8"/>
        <v>4139</v>
      </c>
      <c r="AB19" s="14">
        <f t="shared" si="9"/>
        <v>2744</v>
      </c>
      <c r="AC19" s="14">
        <f t="shared" si="10"/>
        <v>3979</v>
      </c>
      <c r="AE19">
        <f t="shared" si="11"/>
        <v>2309</v>
      </c>
    </row>
    <row r="20" spans="1:31" x14ac:dyDescent="0.25">
      <c r="A20" s="8">
        <v>2031</v>
      </c>
      <c r="B20" s="10">
        <f t="shared" si="6"/>
        <v>497</v>
      </c>
      <c r="C20" s="10">
        <f t="shared" si="12"/>
        <v>3452</v>
      </c>
      <c r="D20" s="10">
        <f t="shared" si="13"/>
        <v>1197</v>
      </c>
      <c r="E20" s="10">
        <f t="shared" si="14"/>
        <v>1532</v>
      </c>
      <c r="F20" s="10">
        <f t="shared" si="15"/>
        <v>2021</v>
      </c>
      <c r="G20" s="10">
        <f t="shared" si="16"/>
        <v>2063</v>
      </c>
      <c r="H20" s="10">
        <f t="shared" si="17"/>
        <v>10762</v>
      </c>
      <c r="I20" s="10">
        <f t="shared" si="4"/>
        <v>468</v>
      </c>
      <c r="J20" s="10">
        <f t="shared" si="18"/>
        <v>3229</v>
      </c>
      <c r="K20" s="10">
        <f t="shared" si="19"/>
        <v>1126</v>
      </c>
      <c r="L20" s="10">
        <f t="shared" si="20"/>
        <v>1408</v>
      </c>
      <c r="M20" s="10">
        <f t="shared" si="21"/>
        <v>1443</v>
      </c>
      <c r="N20" s="10">
        <f t="shared" si="22"/>
        <v>1787</v>
      </c>
      <c r="O20" s="10">
        <f t="shared" si="23"/>
        <v>2724</v>
      </c>
      <c r="P20" s="10">
        <f t="shared" si="24"/>
        <v>2724</v>
      </c>
      <c r="Q20" s="10">
        <f t="shared" si="5"/>
        <v>1500</v>
      </c>
      <c r="R20" s="10">
        <f t="shared" si="25"/>
        <v>4338</v>
      </c>
      <c r="S20" s="10">
        <f t="shared" si="26"/>
        <v>1357</v>
      </c>
      <c r="T20" s="10">
        <f t="shared" si="27"/>
        <v>1643</v>
      </c>
      <c r="U20" s="10">
        <f t="shared" si="28"/>
        <v>2110</v>
      </c>
      <c r="V20" s="10">
        <f t="shared" si="28"/>
        <v>2110</v>
      </c>
      <c r="W20" s="10">
        <f t="shared" si="29"/>
        <v>13058</v>
      </c>
      <c r="X20" s="10">
        <f t="shared" si="30"/>
        <v>0.99</v>
      </c>
      <c r="Z20" s="14">
        <f t="shared" si="7"/>
        <v>5448</v>
      </c>
      <c r="AA20" s="14">
        <f t="shared" si="8"/>
        <v>4084</v>
      </c>
      <c r="AB20" s="14">
        <f t="shared" si="9"/>
        <v>2729</v>
      </c>
      <c r="AC20" s="14">
        <f t="shared" si="10"/>
        <v>3949</v>
      </c>
      <c r="AE20">
        <f t="shared" si="11"/>
        <v>2296</v>
      </c>
    </row>
    <row r="21" spans="1:31" x14ac:dyDescent="0.25">
      <c r="A21" s="8">
        <v>2032</v>
      </c>
      <c r="B21" s="10">
        <f t="shared" si="6"/>
        <v>495</v>
      </c>
      <c r="C21" s="10">
        <f t="shared" si="12"/>
        <v>3427</v>
      </c>
      <c r="D21" s="10">
        <f t="shared" si="13"/>
        <v>1181</v>
      </c>
      <c r="E21" s="10">
        <f t="shared" si="14"/>
        <v>1512</v>
      </c>
      <c r="F21" s="10">
        <f t="shared" si="15"/>
        <v>2005</v>
      </c>
      <c r="G21" s="10">
        <f t="shared" si="16"/>
        <v>2047</v>
      </c>
      <c r="H21" s="10">
        <f t="shared" si="17"/>
        <v>10667</v>
      </c>
      <c r="I21" s="10">
        <f t="shared" si="4"/>
        <v>466</v>
      </c>
      <c r="J21" s="10">
        <f t="shared" si="18"/>
        <v>3206</v>
      </c>
      <c r="K21" s="10">
        <f t="shared" si="19"/>
        <v>1111</v>
      </c>
      <c r="L21" s="10">
        <f t="shared" si="20"/>
        <v>1390</v>
      </c>
      <c r="M21" s="10">
        <f t="shared" si="21"/>
        <v>1432</v>
      </c>
      <c r="N21" s="10">
        <f t="shared" si="22"/>
        <v>1773</v>
      </c>
      <c r="O21" s="10">
        <f t="shared" si="23"/>
        <v>2704</v>
      </c>
      <c r="P21" s="10">
        <f t="shared" si="24"/>
        <v>2704</v>
      </c>
      <c r="Q21" s="10">
        <f t="shared" si="5"/>
        <v>1484</v>
      </c>
      <c r="R21" s="10">
        <f t="shared" si="25"/>
        <v>4299</v>
      </c>
      <c r="S21" s="10">
        <f t="shared" si="26"/>
        <v>1347</v>
      </c>
      <c r="T21" s="10">
        <f t="shared" si="27"/>
        <v>1630</v>
      </c>
      <c r="U21" s="10">
        <f t="shared" si="28"/>
        <v>2095</v>
      </c>
      <c r="V21" s="10">
        <f t="shared" si="28"/>
        <v>2095</v>
      </c>
      <c r="W21" s="10">
        <f t="shared" si="29"/>
        <v>12950</v>
      </c>
      <c r="X21" s="10">
        <f t="shared" si="30"/>
        <v>0.99</v>
      </c>
      <c r="Z21" s="14">
        <f t="shared" si="7"/>
        <v>5408</v>
      </c>
      <c r="AA21" s="14">
        <f t="shared" si="8"/>
        <v>4052</v>
      </c>
      <c r="AB21" s="14">
        <f t="shared" si="9"/>
        <v>2693</v>
      </c>
      <c r="AC21" s="14">
        <f t="shared" si="10"/>
        <v>3922</v>
      </c>
      <c r="AE21">
        <f t="shared" si="11"/>
        <v>2283</v>
      </c>
    </row>
    <row r="22" spans="1:31" x14ac:dyDescent="0.25">
      <c r="A22" s="8">
        <v>2033</v>
      </c>
      <c r="B22" s="10">
        <f t="shared" si="6"/>
        <v>490</v>
      </c>
      <c r="C22" s="10">
        <f t="shared" si="12"/>
        <v>3396</v>
      </c>
      <c r="D22" s="10">
        <f t="shared" si="13"/>
        <v>1172</v>
      </c>
      <c r="E22" s="10">
        <f t="shared" si="14"/>
        <v>1500</v>
      </c>
      <c r="F22" s="10">
        <f t="shared" si="15"/>
        <v>1990</v>
      </c>
      <c r="G22" s="10">
        <f t="shared" si="16"/>
        <v>2032</v>
      </c>
      <c r="H22" s="10">
        <f t="shared" si="17"/>
        <v>10580</v>
      </c>
      <c r="I22" s="10">
        <f t="shared" si="4"/>
        <v>461</v>
      </c>
      <c r="J22" s="10">
        <f t="shared" si="18"/>
        <v>3177</v>
      </c>
      <c r="K22" s="10">
        <f t="shared" si="19"/>
        <v>1103</v>
      </c>
      <c r="L22" s="10">
        <f t="shared" si="20"/>
        <v>1379</v>
      </c>
      <c r="M22" s="10">
        <f t="shared" si="21"/>
        <v>1421</v>
      </c>
      <c r="N22" s="10">
        <f t="shared" si="22"/>
        <v>1760</v>
      </c>
      <c r="O22" s="10">
        <f t="shared" si="23"/>
        <v>2680</v>
      </c>
      <c r="P22" s="10">
        <f t="shared" si="24"/>
        <v>2680</v>
      </c>
      <c r="Q22" s="10">
        <f t="shared" si="5"/>
        <v>1471</v>
      </c>
      <c r="R22" s="10">
        <f t="shared" si="25"/>
        <v>4262</v>
      </c>
      <c r="S22" s="10">
        <f t="shared" si="26"/>
        <v>1337</v>
      </c>
      <c r="T22" s="10">
        <f t="shared" si="27"/>
        <v>1618</v>
      </c>
      <c r="U22" s="10">
        <f t="shared" si="28"/>
        <v>2076</v>
      </c>
      <c r="V22" s="10">
        <f t="shared" si="28"/>
        <v>2076</v>
      </c>
      <c r="W22" s="10">
        <f t="shared" si="29"/>
        <v>12840</v>
      </c>
      <c r="X22" s="10">
        <f t="shared" si="30"/>
        <v>0.99</v>
      </c>
      <c r="Z22" s="14">
        <f t="shared" si="7"/>
        <v>5360</v>
      </c>
      <c r="AA22" s="14">
        <f t="shared" si="8"/>
        <v>4022</v>
      </c>
      <c r="AB22" s="14">
        <f t="shared" si="9"/>
        <v>2672</v>
      </c>
      <c r="AC22" s="14">
        <f t="shared" si="10"/>
        <v>3886</v>
      </c>
      <c r="AE22">
        <f t="shared" si="11"/>
        <v>2260</v>
      </c>
    </row>
    <row r="23" spans="1:31" x14ac:dyDescent="0.25">
      <c r="A23" s="8">
        <v>2034</v>
      </c>
      <c r="B23" s="10">
        <f t="shared" si="6"/>
        <v>485</v>
      </c>
      <c r="C23" s="10">
        <f t="shared" si="12"/>
        <v>3367</v>
      </c>
      <c r="D23" s="10">
        <f t="shared" si="13"/>
        <v>1163</v>
      </c>
      <c r="E23" s="10">
        <f t="shared" si="14"/>
        <v>1489</v>
      </c>
      <c r="F23" s="10">
        <f t="shared" si="15"/>
        <v>1972</v>
      </c>
      <c r="G23" s="10">
        <f t="shared" si="16"/>
        <v>2014</v>
      </c>
      <c r="H23" s="10">
        <f t="shared" si="17"/>
        <v>10490</v>
      </c>
      <c r="I23" s="10">
        <f t="shared" si="4"/>
        <v>456</v>
      </c>
      <c r="J23" s="10">
        <f t="shared" si="18"/>
        <v>3150</v>
      </c>
      <c r="K23" s="10">
        <f t="shared" si="19"/>
        <v>1094</v>
      </c>
      <c r="L23" s="10">
        <f t="shared" si="20"/>
        <v>1369</v>
      </c>
      <c r="M23" s="10">
        <f t="shared" si="21"/>
        <v>1408</v>
      </c>
      <c r="N23" s="10">
        <f t="shared" si="22"/>
        <v>1744</v>
      </c>
      <c r="O23" s="10">
        <f t="shared" si="23"/>
        <v>2657</v>
      </c>
      <c r="P23" s="10">
        <f t="shared" si="24"/>
        <v>2657</v>
      </c>
      <c r="Q23" s="10">
        <f t="shared" si="5"/>
        <v>1458</v>
      </c>
      <c r="R23" s="10">
        <f t="shared" si="25"/>
        <v>4227</v>
      </c>
      <c r="S23" s="10">
        <f t="shared" si="26"/>
        <v>1325</v>
      </c>
      <c r="T23" s="10">
        <f t="shared" si="27"/>
        <v>1603</v>
      </c>
      <c r="U23" s="10">
        <f t="shared" si="28"/>
        <v>2058</v>
      </c>
      <c r="V23" s="10">
        <f t="shared" si="28"/>
        <v>2058</v>
      </c>
      <c r="W23" s="10">
        <f t="shared" si="29"/>
        <v>12729</v>
      </c>
      <c r="X23" s="10">
        <f t="shared" si="30"/>
        <v>0.99</v>
      </c>
      <c r="Z23" s="14">
        <f t="shared" si="7"/>
        <v>5314</v>
      </c>
      <c r="AA23" s="14">
        <f t="shared" si="8"/>
        <v>3986</v>
      </c>
      <c r="AB23" s="14">
        <f t="shared" si="9"/>
        <v>2652</v>
      </c>
      <c r="AC23" s="14">
        <f t="shared" si="10"/>
        <v>3852</v>
      </c>
      <c r="AE23">
        <f t="shared" si="11"/>
        <v>2239</v>
      </c>
    </row>
    <row r="24" spans="1:31" x14ac:dyDescent="0.25">
      <c r="A24" s="8">
        <v>2035</v>
      </c>
      <c r="B24" s="10">
        <f t="shared" si="6"/>
        <v>481</v>
      </c>
      <c r="C24" s="10">
        <f t="shared" si="12"/>
        <v>3339</v>
      </c>
      <c r="D24" s="10">
        <f t="shared" si="13"/>
        <v>1153</v>
      </c>
      <c r="E24" s="10">
        <f t="shared" si="14"/>
        <v>1475</v>
      </c>
      <c r="F24" s="10">
        <f t="shared" si="15"/>
        <v>1955</v>
      </c>
      <c r="G24" s="10">
        <f t="shared" si="16"/>
        <v>1996</v>
      </c>
      <c r="H24" s="10">
        <f t="shared" si="17"/>
        <v>10399</v>
      </c>
      <c r="I24" s="10">
        <f t="shared" si="4"/>
        <v>452</v>
      </c>
      <c r="J24" s="10">
        <f t="shared" si="18"/>
        <v>3123</v>
      </c>
      <c r="K24" s="10">
        <f t="shared" si="19"/>
        <v>1085</v>
      </c>
      <c r="L24" s="10">
        <f t="shared" si="20"/>
        <v>1356</v>
      </c>
      <c r="M24" s="10">
        <f t="shared" si="21"/>
        <v>1396</v>
      </c>
      <c r="N24" s="10">
        <f t="shared" si="22"/>
        <v>1729</v>
      </c>
      <c r="O24" s="10">
        <f t="shared" si="23"/>
        <v>2634</v>
      </c>
      <c r="P24" s="10">
        <f t="shared" si="24"/>
        <v>2634</v>
      </c>
      <c r="Q24" s="10">
        <f t="shared" si="5"/>
        <v>1446</v>
      </c>
      <c r="R24" s="10">
        <f t="shared" si="25"/>
        <v>4190</v>
      </c>
      <c r="S24" s="10">
        <f t="shared" si="26"/>
        <v>1313</v>
      </c>
      <c r="T24" s="10">
        <f t="shared" si="27"/>
        <v>1589</v>
      </c>
      <c r="U24" s="10">
        <f t="shared" si="28"/>
        <v>2040</v>
      </c>
      <c r="V24" s="10">
        <f t="shared" si="28"/>
        <v>2040</v>
      </c>
      <c r="W24" s="10">
        <f t="shared" si="29"/>
        <v>12618</v>
      </c>
      <c r="X24" s="10">
        <f t="shared" si="30"/>
        <v>0.99</v>
      </c>
      <c r="Z24" s="14">
        <f t="shared" si="7"/>
        <v>5268</v>
      </c>
      <c r="AA24" s="14">
        <f t="shared" si="8"/>
        <v>3951</v>
      </c>
      <c r="AB24" s="14">
        <f t="shared" si="9"/>
        <v>2628</v>
      </c>
      <c r="AC24" s="14">
        <f t="shared" si="10"/>
        <v>3820</v>
      </c>
      <c r="AE24">
        <f t="shared" si="11"/>
        <v>2219</v>
      </c>
    </row>
    <row r="25" spans="1:31" x14ac:dyDescent="0.25">
      <c r="A25" s="8">
        <v>2036</v>
      </c>
      <c r="B25" s="10">
        <f t="shared" si="6"/>
        <v>477</v>
      </c>
      <c r="C25" s="10">
        <f t="shared" si="12"/>
        <v>3310</v>
      </c>
      <c r="D25" s="10">
        <f t="shared" si="13"/>
        <v>1142</v>
      </c>
      <c r="E25" s="10">
        <f t="shared" si="14"/>
        <v>1462</v>
      </c>
      <c r="F25" s="10">
        <f t="shared" si="15"/>
        <v>1938</v>
      </c>
      <c r="G25" s="10">
        <f t="shared" si="16"/>
        <v>1979</v>
      </c>
      <c r="H25" s="10">
        <f t="shared" si="17"/>
        <v>10308</v>
      </c>
      <c r="I25" s="10">
        <f t="shared" si="4"/>
        <v>449</v>
      </c>
      <c r="J25" s="10">
        <f t="shared" si="18"/>
        <v>3096</v>
      </c>
      <c r="K25" s="10">
        <f t="shared" si="19"/>
        <v>1074</v>
      </c>
      <c r="L25" s="10">
        <f t="shared" si="20"/>
        <v>1344</v>
      </c>
      <c r="M25" s="10">
        <f t="shared" si="21"/>
        <v>1384</v>
      </c>
      <c r="N25" s="10">
        <f t="shared" si="22"/>
        <v>1714</v>
      </c>
      <c r="O25" s="10">
        <f t="shared" si="23"/>
        <v>2611</v>
      </c>
      <c r="P25" s="10">
        <f t="shared" si="24"/>
        <v>2611</v>
      </c>
      <c r="Q25" s="10">
        <f t="shared" si="5"/>
        <v>1433</v>
      </c>
      <c r="R25" s="10">
        <f t="shared" si="25"/>
        <v>4153</v>
      </c>
      <c r="S25" s="10">
        <f t="shared" si="26"/>
        <v>1302</v>
      </c>
      <c r="T25" s="10">
        <f t="shared" si="27"/>
        <v>1576</v>
      </c>
      <c r="U25" s="10">
        <f t="shared" si="28"/>
        <v>2022</v>
      </c>
      <c r="V25" s="10">
        <f t="shared" si="28"/>
        <v>2022</v>
      </c>
      <c r="W25" s="10">
        <f t="shared" si="29"/>
        <v>12508</v>
      </c>
      <c r="X25" s="10">
        <f t="shared" si="30"/>
        <v>0.99</v>
      </c>
      <c r="Z25" s="14">
        <f t="shared" si="7"/>
        <v>5222</v>
      </c>
      <c r="AA25" s="14">
        <f t="shared" si="8"/>
        <v>3917</v>
      </c>
      <c r="AB25" s="14">
        <f t="shared" si="9"/>
        <v>2604</v>
      </c>
      <c r="AC25" s="14">
        <f t="shared" si="10"/>
        <v>3787</v>
      </c>
      <c r="AE25">
        <f t="shared" si="11"/>
        <v>2200</v>
      </c>
    </row>
    <row r="26" spans="1:31" x14ac:dyDescent="0.25">
      <c r="A26" s="8">
        <v>2037</v>
      </c>
      <c r="B26" s="10">
        <f t="shared" si="6"/>
        <v>473</v>
      </c>
      <c r="C26" s="10">
        <f t="shared" si="12"/>
        <v>3281</v>
      </c>
      <c r="D26" s="10">
        <f t="shared" si="13"/>
        <v>1133</v>
      </c>
      <c r="E26" s="10">
        <f t="shared" si="14"/>
        <v>1450</v>
      </c>
      <c r="F26" s="10">
        <f t="shared" si="15"/>
        <v>1921</v>
      </c>
      <c r="G26" s="10">
        <f t="shared" si="16"/>
        <v>1961</v>
      </c>
      <c r="H26" s="10">
        <f t="shared" si="17"/>
        <v>10219</v>
      </c>
      <c r="I26" s="10">
        <f t="shared" si="4"/>
        <v>445</v>
      </c>
      <c r="J26" s="10">
        <f t="shared" si="18"/>
        <v>3069</v>
      </c>
      <c r="K26" s="10">
        <f t="shared" si="19"/>
        <v>1066</v>
      </c>
      <c r="L26" s="10">
        <f t="shared" si="20"/>
        <v>1333</v>
      </c>
      <c r="M26" s="10">
        <f t="shared" si="21"/>
        <v>1372</v>
      </c>
      <c r="N26" s="10">
        <f t="shared" si="22"/>
        <v>1698</v>
      </c>
      <c r="O26" s="10">
        <f t="shared" si="23"/>
        <v>2589</v>
      </c>
      <c r="P26" s="10">
        <f t="shared" si="24"/>
        <v>2589</v>
      </c>
      <c r="Q26" s="10">
        <f t="shared" si="5"/>
        <v>1421</v>
      </c>
      <c r="R26" s="10">
        <f t="shared" si="25"/>
        <v>4118</v>
      </c>
      <c r="S26" s="10">
        <f t="shared" si="26"/>
        <v>1291</v>
      </c>
      <c r="T26" s="10">
        <f t="shared" si="27"/>
        <v>1561</v>
      </c>
      <c r="U26" s="10">
        <f t="shared" si="28"/>
        <v>2005</v>
      </c>
      <c r="V26" s="10">
        <f t="shared" si="28"/>
        <v>2005</v>
      </c>
      <c r="W26" s="10">
        <f t="shared" si="29"/>
        <v>12401</v>
      </c>
      <c r="X26" s="10">
        <f t="shared" si="30"/>
        <v>0.99</v>
      </c>
      <c r="Z26" s="14">
        <f t="shared" si="7"/>
        <v>5178</v>
      </c>
      <c r="AA26" s="14">
        <f t="shared" si="8"/>
        <v>3882</v>
      </c>
      <c r="AB26" s="14">
        <f t="shared" si="9"/>
        <v>2583</v>
      </c>
      <c r="AC26" s="14">
        <f t="shared" si="10"/>
        <v>3754</v>
      </c>
      <c r="AE26">
        <f t="shared" si="11"/>
        <v>2182</v>
      </c>
    </row>
    <row r="27" spans="1:31" x14ac:dyDescent="0.25">
      <c r="A27" s="8">
        <v>2038</v>
      </c>
      <c r="B27" s="10">
        <f t="shared" si="6"/>
        <v>469</v>
      </c>
      <c r="C27" s="10">
        <f t="shared" si="12"/>
        <v>3253</v>
      </c>
      <c r="D27" s="10">
        <f t="shared" si="13"/>
        <v>1123</v>
      </c>
      <c r="E27" s="10">
        <f t="shared" si="14"/>
        <v>1436</v>
      </c>
      <c r="F27" s="10">
        <f t="shared" si="15"/>
        <v>1905</v>
      </c>
      <c r="G27" s="10">
        <f t="shared" si="16"/>
        <v>1945</v>
      </c>
      <c r="H27" s="10">
        <f t="shared" si="17"/>
        <v>10131</v>
      </c>
      <c r="I27" s="10">
        <f t="shared" si="4"/>
        <v>441</v>
      </c>
      <c r="J27" s="10">
        <f t="shared" si="18"/>
        <v>3043</v>
      </c>
      <c r="K27" s="10">
        <f t="shared" si="19"/>
        <v>1056</v>
      </c>
      <c r="L27" s="10">
        <f t="shared" si="20"/>
        <v>1320</v>
      </c>
      <c r="M27" s="10">
        <f t="shared" si="21"/>
        <v>1360</v>
      </c>
      <c r="N27" s="10">
        <f t="shared" si="22"/>
        <v>1684</v>
      </c>
      <c r="O27" s="10">
        <f t="shared" si="23"/>
        <v>2566</v>
      </c>
      <c r="P27" s="10">
        <f t="shared" si="24"/>
        <v>2566</v>
      </c>
      <c r="Q27" s="10">
        <f t="shared" si="5"/>
        <v>1408</v>
      </c>
      <c r="R27" s="10">
        <f t="shared" si="25"/>
        <v>4081</v>
      </c>
      <c r="S27" s="10">
        <f t="shared" si="26"/>
        <v>1279</v>
      </c>
      <c r="T27" s="10">
        <f t="shared" si="27"/>
        <v>1548</v>
      </c>
      <c r="U27" s="10">
        <f t="shared" si="28"/>
        <v>1988</v>
      </c>
      <c r="V27" s="10">
        <f t="shared" si="28"/>
        <v>1988</v>
      </c>
      <c r="W27" s="10">
        <f t="shared" si="29"/>
        <v>12292</v>
      </c>
      <c r="X27" s="10">
        <f t="shared" si="30"/>
        <v>0.99</v>
      </c>
      <c r="Z27" s="14">
        <f t="shared" si="7"/>
        <v>5132</v>
      </c>
      <c r="AA27" s="14">
        <f t="shared" si="8"/>
        <v>3850</v>
      </c>
      <c r="AB27" s="14">
        <f t="shared" si="9"/>
        <v>2559</v>
      </c>
      <c r="AC27" s="14">
        <f t="shared" si="10"/>
        <v>3722</v>
      </c>
      <c r="AE27">
        <f t="shared" si="11"/>
        <v>2161</v>
      </c>
    </row>
    <row r="28" spans="1:31" x14ac:dyDescent="0.25">
      <c r="A28" s="8">
        <v>2039</v>
      </c>
      <c r="B28" s="10">
        <f t="shared" si="6"/>
        <v>465</v>
      </c>
      <c r="C28" s="10">
        <f t="shared" si="12"/>
        <v>3224</v>
      </c>
      <c r="D28" s="10">
        <f t="shared" si="13"/>
        <v>1113</v>
      </c>
      <c r="E28" s="10">
        <f t="shared" si="14"/>
        <v>1424</v>
      </c>
      <c r="F28" s="10">
        <f t="shared" si="15"/>
        <v>1889</v>
      </c>
      <c r="G28" s="10">
        <f t="shared" si="16"/>
        <v>1928</v>
      </c>
      <c r="H28" s="10">
        <f t="shared" si="17"/>
        <v>10043</v>
      </c>
      <c r="I28" s="10">
        <f t="shared" si="4"/>
        <v>437</v>
      </c>
      <c r="J28" s="10">
        <f t="shared" si="18"/>
        <v>3016</v>
      </c>
      <c r="K28" s="10">
        <f t="shared" si="19"/>
        <v>1047</v>
      </c>
      <c r="L28" s="10">
        <f t="shared" si="20"/>
        <v>1309</v>
      </c>
      <c r="M28" s="10">
        <f t="shared" si="21"/>
        <v>1349</v>
      </c>
      <c r="N28" s="10">
        <f t="shared" si="22"/>
        <v>1670</v>
      </c>
      <c r="O28" s="10">
        <f t="shared" si="23"/>
        <v>2544</v>
      </c>
      <c r="P28" s="10">
        <f t="shared" si="24"/>
        <v>2544</v>
      </c>
      <c r="Q28" s="10">
        <f t="shared" si="5"/>
        <v>1396</v>
      </c>
      <c r="R28" s="10">
        <f t="shared" si="25"/>
        <v>4046</v>
      </c>
      <c r="S28" s="10">
        <f t="shared" si="26"/>
        <v>1269</v>
      </c>
      <c r="T28" s="10">
        <f t="shared" si="27"/>
        <v>1535</v>
      </c>
      <c r="U28" s="10">
        <f t="shared" si="28"/>
        <v>1971</v>
      </c>
      <c r="V28" s="10">
        <f t="shared" si="28"/>
        <v>1971</v>
      </c>
      <c r="W28" s="10">
        <f t="shared" si="29"/>
        <v>12188</v>
      </c>
      <c r="X28" s="10">
        <f t="shared" si="30"/>
        <v>0.99</v>
      </c>
      <c r="Z28" s="14">
        <f t="shared" si="7"/>
        <v>5088</v>
      </c>
      <c r="AA28" s="14">
        <f t="shared" si="8"/>
        <v>3817</v>
      </c>
      <c r="AB28" s="14">
        <f t="shared" si="9"/>
        <v>2537</v>
      </c>
      <c r="AC28" s="14">
        <f t="shared" si="10"/>
        <v>3689</v>
      </c>
      <c r="AE28">
        <f t="shared" si="11"/>
        <v>2145</v>
      </c>
    </row>
    <row r="29" spans="1:31" x14ac:dyDescent="0.25">
      <c r="A29" s="8">
        <v>2040</v>
      </c>
      <c r="B29" s="10">
        <f t="shared" si="6"/>
        <v>461</v>
      </c>
      <c r="C29" s="10">
        <f t="shared" si="12"/>
        <v>3196</v>
      </c>
      <c r="D29" s="10">
        <f t="shared" si="13"/>
        <v>1104</v>
      </c>
      <c r="E29" s="10">
        <f t="shared" si="14"/>
        <v>1412</v>
      </c>
      <c r="F29" s="10">
        <f t="shared" si="15"/>
        <v>1872</v>
      </c>
      <c r="G29" s="10">
        <f t="shared" si="16"/>
        <v>1912</v>
      </c>
      <c r="H29" s="10">
        <f t="shared" si="17"/>
        <v>9957</v>
      </c>
      <c r="I29" s="10">
        <f t="shared" si="4"/>
        <v>434</v>
      </c>
      <c r="J29" s="10">
        <f t="shared" si="18"/>
        <v>2990</v>
      </c>
      <c r="K29" s="10">
        <f t="shared" si="19"/>
        <v>1039</v>
      </c>
      <c r="L29" s="10">
        <f t="shared" si="20"/>
        <v>1298</v>
      </c>
      <c r="M29" s="10">
        <f t="shared" si="21"/>
        <v>1337</v>
      </c>
      <c r="N29" s="10">
        <f t="shared" si="22"/>
        <v>1656</v>
      </c>
      <c r="O29" s="10">
        <f t="shared" si="23"/>
        <v>2522</v>
      </c>
      <c r="P29" s="10">
        <f t="shared" si="24"/>
        <v>2522</v>
      </c>
      <c r="Q29" s="10">
        <f t="shared" si="5"/>
        <v>1386</v>
      </c>
      <c r="R29" s="10">
        <f t="shared" si="25"/>
        <v>4011</v>
      </c>
      <c r="S29" s="10">
        <f t="shared" si="26"/>
        <v>1258</v>
      </c>
      <c r="T29" s="10">
        <f t="shared" si="27"/>
        <v>1522</v>
      </c>
      <c r="U29" s="10">
        <f t="shared" si="28"/>
        <v>1954</v>
      </c>
      <c r="V29" s="10">
        <f t="shared" si="28"/>
        <v>1954</v>
      </c>
      <c r="W29" s="10">
        <f t="shared" si="29"/>
        <v>12085</v>
      </c>
      <c r="X29" s="10">
        <f t="shared" si="30"/>
        <v>0.99</v>
      </c>
      <c r="Z29" s="14">
        <f t="shared" si="7"/>
        <v>5044</v>
      </c>
      <c r="AA29" s="14">
        <f t="shared" si="8"/>
        <v>3784</v>
      </c>
      <c r="AB29" s="14">
        <f t="shared" si="9"/>
        <v>2516</v>
      </c>
      <c r="AC29" s="14">
        <f t="shared" si="10"/>
        <v>3657</v>
      </c>
      <c r="AE29">
        <f t="shared" si="11"/>
        <v>2128</v>
      </c>
    </row>
    <row r="30" spans="1:31" x14ac:dyDescent="0.25">
      <c r="A30" s="8">
        <v>2041</v>
      </c>
      <c r="B30" s="10">
        <f t="shared" si="6"/>
        <v>457</v>
      </c>
      <c r="C30" s="10">
        <f t="shared" si="12"/>
        <v>3169</v>
      </c>
      <c r="D30" s="10">
        <f t="shared" si="13"/>
        <v>1094</v>
      </c>
      <c r="E30" s="10">
        <f t="shared" si="14"/>
        <v>1400</v>
      </c>
      <c r="F30" s="10">
        <f t="shared" si="15"/>
        <v>1856</v>
      </c>
      <c r="G30" s="10">
        <f t="shared" si="16"/>
        <v>1895</v>
      </c>
      <c r="H30" s="10">
        <f t="shared" si="17"/>
        <v>9871</v>
      </c>
      <c r="I30" s="10">
        <f t="shared" si="4"/>
        <v>430</v>
      </c>
      <c r="J30" s="10">
        <f t="shared" si="18"/>
        <v>2964</v>
      </c>
      <c r="K30" s="10">
        <f t="shared" si="19"/>
        <v>1029</v>
      </c>
      <c r="L30" s="10">
        <f t="shared" si="20"/>
        <v>1287</v>
      </c>
      <c r="M30" s="10">
        <f t="shared" si="21"/>
        <v>1325</v>
      </c>
      <c r="N30" s="10">
        <f t="shared" si="22"/>
        <v>1641</v>
      </c>
      <c r="O30" s="10">
        <f t="shared" si="23"/>
        <v>2500</v>
      </c>
      <c r="P30" s="10">
        <f t="shared" si="24"/>
        <v>2500</v>
      </c>
      <c r="Q30" s="10">
        <f t="shared" si="5"/>
        <v>1373</v>
      </c>
      <c r="R30" s="10">
        <f t="shared" si="25"/>
        <v>3976</v>
      </c>
      <c r="S30" s="10">
        <f t="shared" si="26"/>
        <v>1246</v>
      </c>
      <c r="T30" s="10">
        <f t="shared" si="27"/>
        <v>1508</v>
      </c>
      <c r="U30" s="10">
        <f t="shared" si="28"/>
        <v>1936</v>
      </c>
      <c r="V30" s="10">
        <f t="shared" si="28"/>
        <v>1936</v>
      </c>
      <c r="W30" s="10">
        <f t="shared" si="29"/>
        <v>11975</v>
      </c>
      <c r="X30" s="10">
        <f t="shared" si="30"/>
        <v>0.99</v>
      </c>
      <c r="Z30" s="14">
        <f t="shared" si="7"/>
        <v>5000</v>
      </c>
      <c r="AA30" s="14">
        <f t="shared" si="8"/>
        <v>3751</v>
      </c>
      <c r="AB30" s="14">
        <f t="shared" si="9"/>
        <v>2494</v>
      </c>
      <c r="AC30" s="14">
        <f t="shared" si="10"/>
        <v>3626</v>
      </c>
      <c r="AE30">
        <f t="shared" si="11"/>
        <v>2104</v>
      </c>
    </row>
    <row r="31" spans="1:31" x14ac:dyDescent="0.25">
      <c r="A31" s="8">
        <v>2042</v>
      </c>
      <c r="B31" s="10">
        <f t="shared" si="6"/>
        <v>453</v>
      </c>
      <c r="C31" s="10">
        <f t="shared" si="12"/>
        <v>3141</v>
      </c>
      <c r="D31" s="10">
        <f t="shared" si="13"/>
        <v>1084</v>
      </c>
      <c r="E31" s="10">
        <f t="shared" si="14"/>
        <v>1387</v>
      </c>
      <c r="F31" s="10">
        <f t="shared" si="15"/>
        <v>1839</v>
      </c>
      <c r="G31" s="10">
        <f t="shared" si="16"/>
        <v>1878</v>
      </c>
      <c r="H31" s="10">
        <f t="shared" si="17"/>
        <v>9782</v>
      </c>
      <c r="I31" s="10">
        <f t="shared" si="4"/>
        <v>426</v>
      </c>
      <c r="J31" s="10">
        <f t="shared" si="18"/>
        <v>2938</v>
      </c>
      <c r="K31" s="10">
        <f t="shared" si="19"/>
        <v>1020</v>
      </c>
      <c r="L31" s="10">
        <f t="shared" si="20"/>
        <v>1275</v>
      </c>
      <c r="M31" s="10">
        <f t="shared" si="21"/>
        <v>1313</v>
      </c>
      <c r="N31" s="10">
        <f t="shared" si="22"/>
        <v>1626</v>
      </c>
      <c r="O31" s="10">
        <f t="shared" si="23"/>
        <v>2478</v>
      </c>
      <c r="P31" s="10">
        <f t="shared" si="24"/>
        <v>2478</v>
      </c>
      <c r="Q31" s="10">
        <f t="shared" si="5"/>
        <v>1360</v>
      </c>
      <c r="R31" s="10">
        <f t="shared" si="25"/>
        <v>3941</v>
      </c>
      <c r="S31" s="10">
        <f t="shared" si="26"/>
        <v>1235</v>
      </c>
      <c r="T31" s="10">
        <f t="shared" si="27"/>
        <v>1495</v>
      </c>
      <c r="U31" s="10">
        <f t="shared" si="28"/>
        <v>1919</v>
      </c>
      <c r="V31" s="10">
        <f t="shared" si="28"/>
        <v>1919</v>
      </c>
      <c r="W31" s="10">
        <f t="shared" si="29"/>
        <v>11869</v>
      </c>
      <c r="X31" s="10">
        <f t="shared" si="30"/>
        <v>0.99</v>
      </c>
      <c r="Z31" s="14">
        <f t="shared" si="7"/>
        <v>4956</v>
      </c>
      <c r="AA31" s="14">
        <f t="shared" si="8"/>
        <v>3717</v>
      </c>
      <c r="AB31" s="14">
        <f t="shared" si="9"/>
        <v>2471</v>
      </c>
      <c r="AC31" s="14">
        <f t="shared" si="10"/>
        <v>3594</v>
      </c>
      <c r="AE31">
        <f t="shared" si="11"/>
        <v>2087</v>
      </c>
    </row>
    <row r="32" spans="1:31" x14ac:dyDescent="0.25">
      <c r="A32" s="8">
        <v>2043</v>
      </c>
      <c r="B32" s="10">
        <f t="shared" si="6"/>
        <v>449</v>
      </c>
      <c r="C32" s="10">
        <f t="shared" si="12"/>
        <v>3113</v>
      </c>
      <c r="D32" s="10">
        <f t="shared" si="13"/>
        <v>1074</v>
      </c>
      <c r="E32" s="10">
        <f t="shared" si="14"/>
        <v>1375</v>
      </c>
      <c r="F32" s="10">
        <f t="shared" si="15"/>
        <v>1823</v>
      </c>
      <c r="G32" s="10">
        <f t="shared" si="16"/>
        <v>1861</v>
      </c>
      <c r="H32" s="10">
        <f t="shared" si="17"/>
        <v>9695</v>
      </c>
      <c r="I32" s="10">
        <f t="shared" si="4"/>
        <v>422</v>
      </c>
      <c r="J32" s="10">
        <f t="shared" si="18"/>
        <v>2912</v>
      </c>
      <c r="K32" s="10">
        <f t="shared" si="19"/>
        <v>1010</v>
      </c>
      <c r="L32" s="10">
        <f t="shared" si="20"/>
        <v>1264</v>
      </c>
      <c r="M32" s="10">
        <f t="shared" si="21"/>
        <v>1302</v>
      </c>
      <c r="N32" s="10">
        <f t="shared" si="22"/>
        <v>1612</v>
      </c>
      <c r="O32" s="10">
        <f t="shared" si="23"/>
        <v>2456</v>
      </c>
      <c r="P32" s="10">
        <f t="shared" si="24"/>
        <v>2456</v>
      </c>
      <c r="Q32" s="10">
        <f t="shared" si="5"/>
        <v>1347</v>
      </c>
      <c r="R32" s="10">
        <f t="shared" si="25"/>
        <v>3906</v>
      </c>
      <c r="S32" s="10">
        <f t="shared" si="26"/>
        <v>1225</v>
      </c>
      <c r="T32" s="10">
        <f t="shared" si="27"/>
        <v>1482</v>
      </c>
      <c r="U32" s="10">
        <f t="shared" si="28"/>
        <v>1902</v>
      </c>
      <c r="V32" s="10">
        <f t="shared" si="28"/>
        <v>1902</v>
      </c>
      <c r="W32" s="10">
        <f t="shared" si="29"/>
        <v>11764</v>
      </c>
      <c r="X32" s="10">
        <f t="shared" si="30"/>
        <v>0.99</v>
      </c>
      <c r="Z32" s="14">
        <f t="shared" si="7"/>
        <v>4912</v>
      </c>
      <c r="AA32" s="14">
        <f t="shared" si="8"/>
        <v>3684</v>
      </c>
      <c r="AB32" s="14">
        <f t="shared" si="9"/>
        <v>2449</v>
      </c>
      <c r="AC32" s="14">
        <f t="shared" si="10"/>
        <v>3562</v>
      </c>
      <c r="AE32">
        <f t="shared" si="11"/>
        <v>2069</v>
      </c>
    </row>
    <row r="33" spans="31:31" x14ac:dyDescent="0.25">
      <c r="AE33">
        <f t="shared" si="11"/>
        <v>0</v>
      </c>
    </row>
    <row r="59" spans="1:3" x14ac:dyDescent="0.25">
      <c r="A59" s="1" t="s">
        <v>56</v>
      </c>
      <c r="B59" s="1" t="s">
        <v>63</v>
      </c>
      <c r="C59" s="1" t="s">
        <v>62</v>
      </c>
    </row>
    <row r="60" spans="1:3" x14ac:dyDescent="0.25">
      <c r="A60" s="1" t="s">
        <v>55</v>
      </c>
      <c r="B60" s="1">
        <f>B61/(B62*B63)*(1+B64+(B64*B65))</f>
        <v>14654.63637537111</v>
      </c>
      <c r="C60" s="11" t="s">
        <v>65</v>
      </c>
    </row>
    <row r="61" spans="1:3" x14ac:dyDescent="0.25">
      <c r="A61" s="1" t="s">
        <v>57</v>
      </c>
      <c r="B61" s="1">
        <f>O3</f>
        <v>1778.22</v>
      </c>
      <c r="C61" s="1" t="s">
        <v>64</v>
      </c>
    </row>
    <row r="62" spans="1:3" x14ac:dyDescent="0.25">
      <c r="A62" s="1" t="s">
        <v>58</v>
      </c>
      <c r="B62" s="1">
        <f>1-0.39</f>
        <v>0.61</v>
      </c>
      <c r="C62" s="11" t="s">
        <v>67</v>
      </c>
    </row>
    <row r="63" spans="1:3" x14ac:dyDescent="0.25">
      <c r="A63" s="1" t="s">
        <v>59</v>
      </c>
      <c r="B63" s="1">
        <f>0.381/(0.381+0.331+0.133)</f>
        <v>0.45088757396449708</v>
      </c>
      <c r="C63" s="11" t="s">
        <v>67</v>
      </c>
    </row>
    <row r="64" spans="1:3" x14ac:dyDescent="0.25">
      <c r="A64" s="1" t="s">
        <v>60</v>
      </c>
      <c r="B64" s="1">
        <f>B4</f>
        <v>0.6</v>
      </c>
      <c r="C64" s="1" t="s">
        <v>66</v>
      </c>
    </row>
    <row r="65" spans="1:3" x14ac:dyDescent="0.25">
      <c r="A65" s="1" t="s">
        <v>61</v>
      </c>
      <c r="B65" s="1">
        <f>B6/B66</f>
        <v>1.1111111111111109</v>
      </c>
    </row>
    <row r="66" spans="1:3" x14ac:dyDescent="0.25">
      <c r="B66" s="1">
        <f>B5*B4</f>
        <v>0.27</v>
      </c>
      <c r="C66" s="1" t="s">
        <v>68</v>
      </c>
    </row>
  </sheetData>
  <hyperlinks>
    <hyperlink ref="C60" r:id="rId1" xr:uid="{7DED3FE3-FD03-430C-973F-B7E7A4859FA9}"/>
    <hyperlink ref="C62" r:id="rId2" xr:uid="{E5DD9B82-61E9-4ACA-8ED0-CD0FDC5E1EAA}"/>
    <hyperlink ref="C63" r:id="rId3" xr:uid="{7BC668E6-0DF9-48A9-A169-52E5259D0BDE}"/>
  </hyperlinks>
  <pageMargins left="0.7" right="0.7" top="0.75" bottom="0.75" header="0.3" footer="0.3"/>
  <pageSetup orientation="portrait" r:id="rId4"/>
  <drawing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General</vt:lpstr>
      <vt:lpstr>1.29</vt:lpstr>
      <vt:lpstr>1.29 - APR</vt:lpstr>
      <vt:lpstr>1.29 - 2003</vt:lpstr>
      <vt:lpstr>1.30</vt:lpstr>
      <vt:lpstr>2.2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 Holcomb</dc:creator>
  <cp:lastModifiedBy>Hunter Holcomb</cp:lastModifiedBy>
  <dcterms:created xsi:type="dcterms:W3CDTF">2026-01-27T14:39:38Z</dcterms:created>
  <dcterms:modified xsi:type="dcterms:W3CDTF">2026-02-02T17:52:37Z</dcterms:modified>
</cp:coreProperties>
</file>